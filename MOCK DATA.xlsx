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4"/>
  <workbookPr/>
  <mc:AlternateContent xmlns:mc="http://schemas.openxmlformats.org/markup-compatibility/2006">
    <mc:Choice Requires="x15">
      <x15ac:absPath xmlns:x15ac="http://schemas.microsoft.com/office/spreadsheetml/2010/11/ac" url="/Users/tranthihoanganh/Downloads/Customer Intelligence/"/>
    </mc:Choice>
  </mc:AlternateContent>
  <xr:revisionPtr revIDLastSave="0" documentId="13_ncr:1_{08FD7589-2FCF-CA46-B973-D5A22C42CE1C}" xr6:coauthVersionLast="47" xr6:coauthVersionMax="47" xr10:uidLastSave="{00000000-0000-0000-0000-000000000000}"/>
  <bookViews>
    <workbookView xWindow="0" yWindow="600" windowWidth="28800" windowHeight="16140" xr2:uid="{00000000-000D-0000-FFFF-FFFF00000000}"/>
  </bookViews>
  <sheets>
    <sheet name="Sankey Data" sheetId="1" r:id="rId1"/>
    <sheet name="No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2" i="1" l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<sst xmlns="http://schemas.openxmlformats.org/spreadsheetml/2006/main" count="107" uniqueCount="47">
  <si>
    <t>MCOK</t>
  </si>
  <si>
    <t>Source</t>
  </si>
  <si>
    <t>Dest</t>
  </si>
  <si>
    <t>Value</t>
  </si>
  <si>
    <t>Step from</t>
  </si>
  <si>
    <t>Step to</t>
  </si>
  <si>
    <t>Rate</t>
  </si>
  <si>
    <t>External Source</t>
  </si>
  <si>
    <t>Google</t>
  </si>
  <si>
    <t>Shopee</t>
  </si>
  <si>
    <t>Lazada</t>
  </si>
  <si>
    <t>TikTok Shop</t>
  </si>
  <si>
    <t>YouTube</t>
  </si>
  <si>
    <t>Facebook</t>
  </si>
  <si>
    <t>Instagram</t>
  </si>
  <si>
    <t>Threads</t>
  </si>
  <si>
    <t>Marketplace</t>
  </si>
  <si>
    <t>Ads</t>
  </si>
  <si>
    <t>Affiliate</t>
  </si>
  <si>
    <t>Livestream</t>
  </si>
  <si>
    <t>Video</t>
  </si>
  <si>
    <t>Product Card</t>
  </si>
  <si>
    <t>Shop Tab</t>
  </si>
  <si>
    <t>Engagement</t>
  </si>
  <si>
    <t>Product View</t>
  </si>
  <si>
    <t>Intent</t>
  </si>
  <si>
    <t>Add to Cart</t>
  </si>
  <si>
    <t>Add to cart</t>
  </si>
  <si>
    <t>Order</t>
  </si>
  <si>
    <t>Conversion</t>
  </si>
  <si>
    <t>Fulfilment</t>
  </si>
  <si>
    <t>Complete</t>
  </si>
  <si>
    <t>Cancel</t>
  </si>
  <si>
    <t>Processing</t>
  </si>
  <si>
    <t>Retention</t>
  </si>
  <si>
    <t>Return</t>
  </si>
  <si>
    <t>Good Review</t>
  </si>
  <si>
    <t>Bad Review</t>
  </si>
  <si>
    <t>Buy Again</t>
  </si>
  <si>
    <t>Sankey Data - Notes</t>
  </si>
  <si>
    <t>Dữ liệu được nhập theo đúng bảng người dùng cung cấp trong tin nhắn.</t>
  </si>
  <si>
    <t>Value format</t>
  </si>
  <si>
    <t>Không dùng dấu phân cách hàng nghìn.</t>
  </si>
  <si>
    <t>Giữ nguyên rate/text như người dùng cung cấp, bao gồm 'Only TikTok Shop'.</t>
  </si>
  <si>
    <t>Usage</t>
  </si>
  <si>
    <t>Dùng cho mock/visualize Sankey.</t>
  </si>
  <si>
    <t>Only Tiktok 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</si>
</sst>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b/>
      <sz val="14"/>
      <color rgb="FFFFFFFF"/>
      <name val="Carlito"/>
    </font>
    <font>
      <sz val="11"/>
      <name val="Carlito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1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9" fontId="5" fillId="0" borderId="0" xfId="1" applyFont="1" applyAlignment="1">
      <alignment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2"/>
  <sheetViews>
    <sheetView tabSelected="1" workbookViewId="0">
      <selection activeCell="G15" sqref="G15"/>
    </sheetView>
  </sheetViews>
  <sheetFormatPr baseColWidth="10" defaultColWidth="8.83203125" defaultRowHeight="14"/>
  <cols>
    <col min="1" max="1" width="20" customWidth="1"/>
    <col min="2" max="3" width="18" customWidth="1"/>
    <col min="4" max="6" width="12" customWidth="1"/>
    <col min="7" max="7" width="18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26.75" customHeight="1">
      <c r="A2" s="2" t="s">
        <v>7</v>
      </c>
      <c r="B2" s="3" t="s">
        <v>8</v>
      </c>
      <c r="C2" s="3" t="s">
        <v>9</v>
      </c>
      <c r="D2" s="7">
        <v>32000</v>
      </c>
      <c r="E2" s="8">
        <v>0</v>
      </c>
      <c r="F2" s="8">
        <v>1</v>
      </c>
      <c r="G2" s="9">
        <f xml:space="preserve"> D2/SUM(D2,D5,D8,D11,D14)</f>
        <v>0.29090909090909089</v>
      </c>
    </row>
    <row r="3" spans="1:7" ht="26.75" customHeight="1">
      <c r="A3" s="3"/>
      <c r="B3" s="3" t="s">
        <v>8</v>
      </c>
      <c r="C3" s="3" t="s">
        <v>10</v>
      </c>
      <c r="D3" s="7">
        <v>0</v>
      </c>
      <c r="E3" s="8">
        <v>0</v>
      </c>
      <c r="F3" s="8">
        <v>1</v>
      </c>
      <c r="G3" s="9">
        <f>D3/SUM(D3,D6,D9,D12,D15)</f>
        <v>0</v>
      </c>
    </row>
    <row r="4" spans="1:7" ht="26.75" customHeight="1">
      <c r="A4" s="3"/>
      <c r="B4" s="3" t="s">
        <v>8</v>
      </c>
      <c r="C4" s="3" t="s">
        <v>11</v>
      </c>
      <c r="D4" s="7">
        <v>8000</v>
      </c>
      <c r="E4" s="8">
        <v>0</v>
      </c>
      <c r="F4" s="8">
        <v>1</v>
      </c>
      <c r="G4" s="9">
        <f>D4/SUM(D4,D7,D10,D13,D16)</f>
        <v>0.13333333333333333</v>
      </c>
    </row>
    <row r="5" spans="1:7" ht="26.75" customHeight="1">
      <c r="A5" s="3"/>
      <c r="B5" s="3" t="s">
        <v>12</v>
      </c>
      <c r="C5" s="3" t="s">
        <v>9</v>
      </c>
      <c r="D5" s="7">
        <v>24000</v>
      </c>
      <c r="E5" s="8">
        <v>0</v>
      </c>
      <c r="F5" s="8">
        <v>1</v>
      </c>
      <c r="G5" s="9">
        <f>D5/SUM(D2,D5,D8,D11,D14)</f>
        <v>0.21818181818181817</v>
      </c>
    </row>
    <row r="6" spans="1:7" ht="26.75" customHeight="1">
      <c r="A6" s="3"/>
      <c r="B6" s="3" t="s">
        <v>12</v>
      </c>
      <c r="C6" s="3" t="s">
        <v>10</v>
      </c>
      <c r="D6" s="7">
        <v>4000</v>
      </c>
      <c r="E6" s="8">
        <v>0</v>
      </c>
      <c r="F6" s="8">
        <v>1</v>
      </c>
      <c r="G6" s="9">
        <f>D6/SUM(D3,D6,D9,D12,D15)</f>
        <v>0.27586206896551724</v>
      </c>
    </row>
    <row r="7" spans="1:7" ht="26.75" customHeight="1">
      <c r="A7" s="3"/>
      <c r="B7" s="3" t="s">
        <v>12</v>
      </c>
      <c r="C7" s="3" t="s">
        <v>11</v>
      </c>
      <c r="D7" s="7">
        <v>18000</v>
      </c>
      <c r="E7" s="8">
        <v>0</v>
      </c>
      <c r="F7" s="8">
        <v>1</v>
      </c>
      <c r="G7" s="9">
        <f>D7/SUM(D4,D7,D10,D13,D16)</f>
        <v>0.3</v>
      </c>
    </row>
    <row r="8" spans="1:7" ht="26.75" customHeight="1">
      <c r="A8" s="3"/>
      <c r="B8" s="3" t="s">
        <v>13</v>
      </c>
      <c r="C8" s="3" t="s">
        <v>9</v>
      </c>
      <c r="D8" s="7">
        <v>28000</v>
      </c>
      <c r="E8" s="8">
        <v>0</v>
      </c>
      <c r="F8" s="8">
        <v>1</v>
      </c>
      <c r="G8" s="9">
        <f>D8/SUM(D2,D5,D8,D11,D14)</f>
        <v>0.25454545454545452</v>
      </c>
    </row>
    <row r="9" spans="1:7" ht="26.75" customHeight="1">
      <c r="A9" s="3"/>
      <c r="B9" s="3" t="s">
        <v>13</v>
      </c>
      <c r="C9" s="3" t="s">
        <v>10</v>
      </c>
      <c r="D9" s="7">
        <v>5500</v>
      </c>
      <c r="E9" s="8">
        <v>0</v>
      </c>
      <c r="F9" s="8">
        <v>1</v>
      </c>
      <c r="G9" s="9">
        <f xml:space="preserve"> D9/SUM(D3,D6,D9,D12,D15)</f>
        <v>0.37931034482758619</v>
      </c>
    </row>
    <row r="10" spans="1:7" ht="26.75" customHeight="1">
      <c r="A10" s="3"/>
      <c r="B10" s="3" t="s">
        <v>13</v>
      </c>
      <c r="C10" s="3" t="s">
        <v>11</v>
      </c>
      <c r="D10" s="7">
        <v>12000</v>
      </c>
      <c r="E10" s="8">
        <v>0</v>
      </c>
      <c r="F10" s="8">
        <v>1</v>
      </c>
      <c r="G10" s="9">
        <f>D10/SUM(D4,D7,D10,D13,D16)</f>
        <v>0.2</v>
      </c>
    </row>
    <row r="11" spans="1:7" ht="26.75" customHeight="1">
      <c r="A11" s="3"/>
      <c r="B11" s="3" t="s">
        <v>14</v>
      </c>
      <c r="C11" s="3" t="s">
        <v>9</v>
      </c>
      <c r="D11" s="7">
        <v>18000</v>
      </c>
      <c r="E11" s="8">
        <v>0</v>
      </c>
      <c r="F11" s="8">
        <v>1</v>
      </c>
      <c r="G11" s="9">
        <f>D11/SUM(D2,D5,D8,D11,D14)</f>
        <v>0.16363636363636364</v>
      </c>
    </row>
    <row r="12" spans="1:7" ht="26.75" customHeight="1">
      <c r="A12" s="3"/>
      <c r="B12" s="3" t="s">
        <v>14</v>
      </c>
      <c r="C12" s="3" t="s">
        <v>10</v>
      </c>
      <c r="D12" s="7">
        <v>3500</v>
      </c>
      <c r="E12" s="8">
        <v>0</v>
      </c>
      <c r="F12" s="8">
        <v>1</v>
      </c>
      <c r="G12" s="9">
        <f xml:space="preserve"> D12 / SUM(D3,D6,D9,D12,D15)</f>
        <v>0.2413793103448276</v>
      </c>
    </row>
    <row r="13" spans="1:7" ht="26.75" customHeight="1">
      <c r="A13" s="3"/>
      <c r="B13" s="3" t="s">
        <v>14</v>
      </c>
      <c r="C13" s="3" t="s">
        <v>11</v>
      </c>
      <c r="D13" s="7">
        <v>16000</v>
      </c>
      <c r="E13" s="8">
        <v>0</v>
      </c>
      <c r="F13" s="8">
        <v>1</v>
      </c>
      <c r="G13" s="9">
        <f xml:space="preserve"> D13 / SUM(D4,D7,D10,D13,D16)</f>
        <v>0.26666666666666666</v>
      </c>
    </row>
    <row r="14" spans="1:7" ht="26.75" customHeight="1">
      <c r="A14" s="3"/>
      <c r="B14" s="3" t="s">
        <v>15</v>
      </c>
      <c r="C14" s="3" t="s">
        <v>9</v>
      </c>
      <c r="D14" s="7">
        <v>8000</v>
      </c>
      <c r="E14" s="8">
        <v>0</v>
      </c>
      <c r="F14" s="8">
        <v>1</v>
      </c>
      <c r="G14" s="9">
        <f>D14/SUM(D2,D5,D8,D11,D14)</f>
        <v>7.2727272727272724E-2</v>
      </c>
    </row>
    <row r="15" spans="1:7" ht="26.75" customHeight="1">
      <c r="A15" s="3"/>
      <c r="B15" s="3" t="s">
        <v>15</v>
      </c>
      <c r="C15" s="3" t="s">
        <v>10</v>
      </c>
      <c r="D15" s="7">
        <v>1500</v>
      </c>
      <c r="E15" s="8">
        <v>0</v>
      </c>
      <c r="F15" s="8">
        <v>1</v>
      </c>
      <c r="G15" s="9">
        <f xml:space="preserve"> D15/ SUM(D3,D6,D9,D12,D15)</f>
        <v>0.10344827586206896</v>
      </c>
    </row>
    <row r="16" spans="1:7" ht="26.75" customHeight="1">
      <c r="A16" s="3"/>
      <c r="B16" s="3" t="s">
        <v>15</v>
      </c>
      <c r="C16" s="3" t="s">
        <v>11</v>
      </c>
      <c r="D16" s="7">
        <v>6000</v>
      </c>
      <c r="E16" s="8">
        <v>0</v>
      </c>
      <c r="F16" s="8">
        <v>1</v>
      </c>
      <c r="G16" s="9">
        <f>D16/SUM(D4,D7,D10,D13,D16)</f>
        <v>0.1</v>
      </c>
    </row>
    <row r="17" spans="1:7" ht="26.75" customHeight="1">
      <c r="A17" s="2" t="s">
        <v>16</v>
      </c>
      <c r="B17" s="3" t="s">
        <v>9</v>
      </c>
      <c r="C17" s="3" t="s">
        <v>17</v>
      </c>
      <c r="D17" s="7">
        <v>70000</v>
      </c>
      <c r="E17" s="8">
        <v>1</v>
      </c>
      <c r="F17" s="8">
        <v>2</v>
      </c>
      <c r="G17" s="9">
        <f xml:space="preserve"> D17 /SUM(D17,D21)</f>
        <v>0.88607594936708856</v>
      </c>
    </row>
    <row r="18" spans="1:7" ht="26.75" customHeight="1">
      <c r="A18" s="3"/>
      <c r="B18" s="3" t="s">
        <v>9</v>
      </c>
      <c r="C18" s="3" t="s">
        <v>18</v>
      </c>
      <c r="D18" s="7">
        <v>18000</v>
      </c>
      <c r="E18" s="8">
        <v>1</v>
      </c>
      <c r="F18" s="8">
        <v>2</v>
      </c>
      <c r="G18" s="9">
        <f xml:space="preserve"> D18/SUM(D18,D22)</f>
        <v>0.78260869565217395</v>
      </c>
    </row>
    <row r="19" spans="1:7" ht="26.75" customHeight="1">
      <c r="A19" s="3"/>
      <c r="B19" s="3" t="s">
        <v>9</v>
      </c>
      <c r="C19" s="3" t="s">
        <v>19</v>
      </c>
      <c r="D19" s="7">
        <v>12000</v>
      </c>
      <c r="E19" s="8">
        <v>1</v>
      </c>
      <c r="F19" s="8">
        <v>2</v>
      </c>
      <c r="G19" s="9">
        <f xml:space="preserve"> D19/SUM(D19,D23)</f>
        <v>0.8</v>
      </c>
    </row>
    <row r="20" spans="1:7" ht="26.75" customHeight="1">
      <c r="A20" s="3"/>
      <c r="B20" s="3" t="s">
        <v>9</v>
      </c>
      <c r="C20" s="3" t="s">
        <v>20</v>
      </c>
      <c r="D20" s="7">
        <v>10000</v>
      </c>
      <c r="E20" s="8">
        <v>1</v>
      </c>
      <c r="F20" s="8">
        <v>2</v>
      </c>
      <c r="G20" s="9">
        <f>D20/SUM(D20,D26)</f>
        <v>0.45454545454545453</v>
      </c>
    </row>
    <row r="21" spans="1:7" ht="26.75" customHeight="1">
      <c r="A21" s="3"/>
      <c r="B21" s="3" t="s">
        <v>10</v>
      </c>
      <c r="C21" s="3" t="s">
        <v>17</v>
      </c>
      <c r="D21" s="7">
        <v>9000</v>
      </c>
      <c r="E21" s="8">
        <v>1</v>
      </c>
      <c r="F21" s="8">
        <v>2</v>
      </c>
      <c r="G21" s="9">
        <f xml:space="preserve"> D21/SUM(D17,D21)</f>
        <v>0.11392405063291139</v>
      </c>
    </row>
    <row r="22" spans="1:7" ht="26.75" customHeight="1">
      <c r="A22" s="3"/>
      <c r="B22" s="3" t="s">
        <v>11</v>
      </c>
      <c r="C22" s="3" t="s">
        <v>18</v>
      </c>
      <c r="D22" s="7">
        <v>5000</v>
      </c>
      <c r="E22" s="8">
        <v>1</v>
      </c>
      <c r="F22" s="8">
        <v>2</v>
      </c>
      <c r="G22" s="9">
        <f xml:space="preserve"> D22/SUM(D22,D18)</f>
        <v>0.21739130434782608</v>
      </c>
    </row>
    <row r="23" spans="1:7" ht="26.75" customHeight="1">
      <c r="A23" s="3"/>
      <c r="B23" s="3" t="s">
        <v>11</v>
      </c>
      <c r="C23" s="3" t="s">
        <v>19</v>
      </c>
      <c r="D23" s="7">
        <v>3000</v>
      </c>
      <c r="E23" s="8">
        <v>1</v>
      </c>
      <c r="F23" s="8">
        <v>2</v>
      </c>
      <c r="G23" s="9">
        <f xml:space="preserve"> D23/SUM(D23,D19)</f>
        <v>0.2</v>
      </c>
    </row>
    <row r="24" spans="1:7" ht="26.75" customHeight="1">
      <c r="A24" s="3"/>
      <c r="B24" s="3" t="s">
        <v>11</v>
      </c>
      <c r="C24" s="3" t="s">
        <v>21</v>
      </c>
      <c r="D24" s="7">
        <v>4000</v>
      </c>
      <c r="E24" s="8">
        <v>1</v>
      </c>
      <c r="F24" s="8">
        <v>2</v>
      </c>
      <c r="G24" s="9" t="s">
        <v>46</v>
      </c>
    </row>
    <row r="25" spans="1:7" ht="26.75" customHeight="1">
      <c r="A25" s="3"/>
      <c r="B25" s="3" t="s">
        <v>11</v>
      </c>
      <c r="C25" s="3" t="s">
        <v>22</v>
      </c>
      <c r="D25" s="7">
        <v>15000</v>
      </c>
      <c r="E25" s="8">
        <v>1</v>
      </c>
      <c r="F25" s="8">
        <v>2</v>
      </c>
      <c r="G25" s="9" t="s">
        <v>46</v>
      </c>
    </row>
    <row r="26" spans="1:7" ht="26.75" customHeight="1">
      <c r="A26" s="3"/>
      <c r="B26" s="3" t="s">
        <v>11</v>
      </c>
      <c r="C26" s="3" t="s">
        <v>20</v>
      </c>
      <c r="D26" s="7">
        <v>12000</v>
      </c>
      <c r="E26" s="8">
        <v>1</v>
      </c>
      <c r="F26" s="8">
        <v>2</v>
      </c>
      <c r="G26" s="9">
        <f xml:space="preserve"> D26/SUM(D20,D26)</f>
        <v>0.54545454545454541</v>
      </c>
    </row>
    <row r="27" spans="1:7" ht="26.75" customHeight="1">
      <c r="A27" s="2" t="s">
        <v>23</v>
      </c>
      <c r="B27" s="3" t="s">
        <v>17</v>
      </c>
      <c r="C27" s="3" t="s">
        <v>24</v>
      </c>
      <c r="D27" s="7">
        <v>10000</v>
      </c>
      <c r="E27" s="8">
        <v>2</v>
      </c>
      <c r="F27" s="8">
        <v>3</v>
      </c>
      <c r="G27" s="9">
        <f xml:space="preserve"> D27/SUM(D17,D21)</f>
        <v>0.12658227848101267</v>
      </c>
    </row>
    <row r="28" spans="1:7" ht="26.75" customHeight="1">
      <c r="A28" s="3"/>
      <c r="B28" s="3" t="s">
        <v>18</v>
      </c>
      <c r="C28" s="3" t="s">
        <v>24</v>
      </c>
      <c r="D28" s="7">
        <v>8000</v>
      </c>
      <c r="E28" s="8">
        <v>2</v>
      </c>
      <c r="F28" s="8">
        <v>3</v>
      </c>
      <c r="G28" s="9">
        <f xml:space="preserve"> D28/SUM(D18,D22)</f>
        <v>0.34782608695652173</v>
      </c>
    </row>
    <row r="29" spans="1:7" ht="26.75" customHeight="1">
      <c r="A29" s="3"/>
      <c r="B29" s="3" t="s">
        <v>19</v>
      </c>
      <c r="C29" s="3" t="s">
        <v>24</v>
      </c>
      <c r="D29" s="7">
        <v>8000</v>
      </c>
      <c r="E29" s="8">
        <v>2</v>
      </c>
      <c r="F29" s="8">
        <v>3</v>
      </c>
      <c r="G29" s="9">
        <f xml:space="preserve"> D29/SUM(D19,D23)</f>
        <v>0.53333333333333333</v>
      </c>
    </row>
    <row r="30" spans="1:7" ht="26.75" customHeight="1">
      <c r="A30" s="3"/>
      <c r="B30" s="3" t="s">
        <v>21</v>
      </c>
      <c r="C30" s="3" t="s">
        <v>24</v>
      </c>
      <c r="D30" s="7">
        <v>1900</v>
      </c>
      <c r="E30" s="8">
        <v>2</v>
      </c>
      <c r="F30" s="8">
        <v>3</v>
      </c>
      <c r="G30" s="9">
        <f xml:space="preserve"> D30/D24</f>
        <v>0.47499999999999998</v>
      </c>
    </row>
    <row r="31" spans="1:7" ht="26.75" customHeight="1">
      <c r="A31" s="3"/>
      <c r="B31" s="3" t="s">
        <v>22</v>
      </c>
      <c r="C31" s="3" t="s">
        <v>24</v>
      </c>
      <c r="D31" s="7">
        <v>2000</v>
      </c>
      <c r="E31" s="8">
        <v>2</v>
      </c>
      <c r="F31" s="8">
        <v>3</v>
      </c>
      <c r="G31" s="9">
        <f>D31/D25</f>
        <v>0.13333333333333333</v>
      </c>
    </row>
    <row r="32" spans="1:7" ht="26.75" customHeight="1">
      <c r="A32" s="3"/>
      <c r="B32" s="3" t="s">
        <v>20</v>
      </c>
      <c r="C32" s="3" t="s">
        <v>24</v>
      </c>
      <c r="D32" s="7">
        <v>1800</v>
      </c>
      <c r="E32" s="8">
        <v>2</v>
      </c>
      <c r="F32" s="8">
        <v>3</v>
      </c>
      <c r="G32" s="9">
        <f>D32/SUM(D26,D20)</f>
        <v>8.1818181818181818E-2</v>
      </c>
    </row>
    <row r="33" spans="1:7" ht="26.75" customHeight="1">
      <c r="A33" s="2" t="s">
        <v>25</v>
      </c>
      <c r="B33" s="3" t="s">
        <v>24</v>
      </c>
      <c r="C33" s="3" t="s">
        <v>26</v>
      </c>
      <c r="D33" s="7">
        <v>8350</v>
      </c>
      <c r="E33" s="8">
        <v>3</v>
      </c>
      <c r="F33" s="8">
        <v>4</v>
      </c>
      <c r="G33" s="9">
        <f>D33/SUM(D27:D32)</f>
        <v>0.26340694006309151</v>
      </c>
    </row>
    <row r="34" spans="1:7" ht="26.75" customHeight="1">
      <c r="A34" s="3"/>
      <c r="B34" s="3" t="s">
        <v>27</v>
      </c>
      <c r="C34" s="3" t="s">
        <v>28</v>
      </c>
      <c r="D34" s="7">
        <v>4320</v>
      </c>
      <c r="E34" s="8">
        <v>4</v>
      </c>
      <c r="F34" s="8">
        <v>5</v>
      </c>
      <c r="G34" s="9">
        <f>D34/D33</f>
        <v>0.51736526946107786</v>
      </c>
    </row>
    <row r="35" spans="1:7" ht="26.75" customHeight="1">
      <c r="A35" s="2" t="s">
        <v>29</v>
      </c>
      <c r="B35" s="3" t="s">
        <v>24</v>
      </c>
      <c r="C35" s="3" t="s">
        <v>28</v>
      </c>
      <c r="D35" s="7">
        <v>7580</v>
      </c>
      <c r="E35" s="8">
        <v>3</v>
      </c>
      <c r="F35" s="8">
        <v>5</v>
      </c>
      <c r="G35" s="9">
        <f>D35/SUM(D27:D32)</f>
        <v>0.2391167192429022</v>
      </c>
    </row>
    <row r="36" spans="1:7" ht="26.75" customHeight="1">
      <c r="A36" s="2" t="s">
        <v>30</v>
      </c>
      <c r="B36" s="3" t="s">
        <v>28</v>
      </c>
      <c r="C36" s="3" t="s">
        <v>31</v>
      </c>
      <c r="D36" s="7">
        <v>9150</v>
      </c>
      <c r="E36" s="8">
        <v>5</v>
      </c>
      <c r="F36" s="8">
        <v>6</v>
      </c>
      <c r="G36" s="9">
        <f>D36/SUM(D34:D35)</f>
        <v>0.76890756302521013</v>
      </c>
    </row>
    <row r="37" spans="1:7" ht="26.75" customHeight="1">
      <c r="A37" s="3"/>
      <c r="B37" s="3" t="s">
        <v>28</v>
      </c>
      <c r="C37" s="3" t="s">
        <v>32</v>
      </c>
      <c r="D37" s="7">
        <v>2380</v>
      </c>
      <c r="E37" s="8">
        <v>5</v>
      </c>
      <c r="F37" s="8">
        <v>6</v>
      </c>
      <c r="G37" s="9">
        <f>D37/SUM(D34:D35)</f>
        <v>0.2</v>
      </c>
    </row>
    <row r="38" spans="1:7" ht="26.75" customHeight="1">
      <c r="A38" s="3"/>
      <c r="B38" s="3" t="s">
        <v>28</v>
      </c>
      <c r="C38" s="3" t="s">
        <v>33</v>
      </c>
      <c r="D38" s="7">
        <v>360</v>
      </c>
      <c r="E38" s="8">
        <v>5</v>
      </c>
      <c r="F38" s="8">
        <v>6</v>
      </c>
      <c r="G38" s="9">
        <f xml:space="preserve"> D38/SUM(D34:D35)</f>
        <v>3.0252100840336135E-2</v>
      </c>
    </row>
    <row r="39" spans="1:7" ht="26.75" customHeight="1">
      <c r="A39" s="2" t="s">
        <v>34</v>
      </c>
      <c r="B39" s="3" t="s">
        <v>31</v>
      </c>
      <c r="C39" s="3" t="s">
        <v>35</v>
      </c>
      <c r="D39" s="7">
        <v>120</v>
      </c>
      <c r="E39" s="8">
        <v>6</v>
      </c>
      <c r="F39" s="8">
        <v>7</v>
      </c>
      <c r="G39" s="9">
        <f>D39/D36</f>
        <v>1.3114754098360656E-2</v>
      </c>
    </row>
    <row r="40" spans="1:7" ht="26.75" customHeight="1">
      <c r="A40" s="3"/>
      <c r="B40" s="3" t="s">
        <v>31</v>
      </c>
      <c r="C40" s="3" t="s">
        <v>36</v>
      </c>
      <c r="D40" s="7">
        <v>7450</v>
      </c>
      <c r="E40" s="8">
        <v>6</v>
      </c>
      <c r="F40" s="8">
        <v>7</v>
      </c>
      <c r="G40" s="9">
        <f>D40/D36</f>
        <v>0.81420765027322406</v>
      </c>
    </row>
    <row r="41" spans="1:7" ht="26.75" customHeight="1">
      <c r="A41" s="3"/>
      <c r="B41" s="3" t="s">
        <v>31</v>
      </c>
      <c r="C41" s="3" t="s">
        <v>37</v>
      </c>
      <c r="D41" s="7">
        <v>1560</v>
      </c>
      <c r="E41" s="8">
        <v>6</v>
      </c>
      <c r="F41" s="8">
        <v>7</v>
      </c>
      <c r="G41" s="9">
        <f>D41/D36</f>
        <v>0.17049180327868851</v>
      </c>
    </row>
    <row r="42" spans="1:7" ht="26.75" customHeight="1">
      <c r="A42" s="3"/>
      <c r="B42" s="3" t="s">
        <v>31</v>
      </c>
      <c r="C42" s="3" t="s">
        <v>38</v>
      </c>
      <c r="D42" s="7">
        <v>1250</v>
      </c>
      <c r="E42" s="8">
        <v>6</v>
      </c>
      <c r="F42" s="8">
        <v>7</v>
      </c>
      <c r="G42" s="9">
        <f>D42/D36</f>
        <v>0.13661202185792351</v>
      </c>
    </row>
  </sheetData>
  <pageMargins left="0.7" right="0.7" top="0.75" bottom="0.75" header="0.3" footer="0.3"/>
  <ignoredErrors>
    <ignoredError sqref="G9 G15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workbookViewId="0"/>
  </sheetViews>
  <sheetFormatPr baseColWidth="10" defaultColWidth="8.83203125" defaultRowHeight="14"/>
  <cols>
    <col min="1" max="1" width="22" customWidth="1"/>
    <col min="2" max="2" width="80" customWidth="1"/>
  </cols>
  <sheetData>
    <row r="1" spans="1:2" ht="15">
      <c r="A1" s="5" t="s">
        <v>39</v>
      </c>
      <c r="B1" s="6"/>
    </row>
    <row r="2" spans="1:2" ht="15">
      <c r="A2" s="4" t="s">
        <v>1</v>
      </c>
      <c r="B2" s="4" t="s">
        <v>40</v>
      </c>
    </row>
    <row r="3" spans="1:2" ht="15">
      <c r="A3" s="4" t="s">
        <v>41</v>
      </c>
      <c r="B3" s="4" t="s">
        <v>42</v>
      </c>
    </row>
    <row r="4" spans="1:2" ht="15">
      <c r="A4" s="4" t="s">
        <v>6</v>
      </c>
      <c r="B4" s="4" t="s">
        <v>43</v>
      </c>
    </row>
    <row r="5" spans="1:2" ht="15">
      <c r="A5" s="4" t="s">
        <v>44</v>
      </c>
      <c r="B5" s="4" t="s">
        <v>45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Sankey Data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Hoang Anh</cp:lastModifiedBy>
  <dcterms:modified xsi:type="dcterms:W3CDTF">2026-08-12T04:49:56Z</dcterms:modified>
</cp:coreProperties>
</file>