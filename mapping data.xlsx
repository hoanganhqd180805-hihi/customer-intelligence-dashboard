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tranthihoanganh/Downloads/Customer Intelligence/"/>
    </mc:Choice>
  </mc:AlternateContent>
  <xr:revisionPtr revIDLastSave="0" documentId="13_ncr:1_{7BE66284-9706-F24A-B65F-149293914298}" xr6:coauthVersionLast="47" xr6:coauthVersionMax="47" xr10:uidLastSave="{00000000-0000-0000-0000-000000000000}"/>
  <bookViews>
    <workbookView xWindow="0" yWindow="600" windowWidth="28800" windowHeight="16140" activeTab="1" xr2:uid="{00000000-000D-0000-FFFF-FFFF00000000}"/>
  </bookViews>
  <sheets>
    <sheet name="Dashboard" sheetId="1" r:id="rId1"/>
    <sheet name="Customer journey" sheetId="2" r:id="rId2"/>
    <sheet name="SQ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1" i="2" l="1"/>
  <c r="C100" i="2"/>
  <c r="C99" i="2"/>
  <c r="C96" i="2"/>
</calcChain>
</file>

<file path=xl/sharedStrings.xml><?xml version="1.0" encoding="utf-8"?>
<sst xmlns="http://schemas.openxmlformats.org/spreadsheetml/2006/main" count="211" uniqueCount="110">
  <si>
    <t>Overview</t>
  </si>
  <si>
    <t>WITH ranked_orders AS (
    SELECT
        od.order_sn,
        od.buyer_user_id,          -- Thay bằng cột định danh khách hàng thực tế
        od.create_time,
        od.update_time,
        COALESCE(od.total_amount, 0)::numeric AS total_amount,
        NULLIF(TRIM(od.cancel_reason), '') AS cancel_reason,
        ROW_NUMBER() OVER (
        PARTITION BY od.order_sn
        ORDER BY od.update_time DESC NULLS LAST
        ) AS rn
    FROM order_detail od
    WHERE od.user_email = 'mayoravietnam_customer@gmail.com'
      /* Bộ lọc thời gian */
      AND od.create_time &gt;= TIMESTAMP '2026-05-01 00:00:00' AND od.create_time &lt; TIMESTAMP '2026-05-18 00:00:00'
),
orders AS (
    /* Chỉ giữ 1 bản ghi cuối cùng của mỗi đơn */
    SELECT
        order_sn, buyer_user_id, total_amount, cancel_reason
    FROM ranked_orders
    WHERE rn = 1
),
valid_orders AS (
    /* Đơn thành công */
    SELECT *
    FROM orders
    WHERE cancel_reason IS NULL
),
customer_summary AS (
    SELECT
        buyer_user_id,
        COUNT(*) AS total_orders
    FROM valid_orders
    GROUP BY buyer_user_id
),
overall_metrics AS (
    SELECT
        COUNT(DISTINCT buyer_user_id)
            AS total_customers,
        COUNT(*)
            AS total_orders,
        SUM(total_amount)
            AS total_revenue,
        ROUND(
            SUM(total_amount)
            /
            NULLIF(COUNT(*),0)
        ,2) AS aov
    FROM valid_orders
),
repeat_metrics AS (
    SELECT
        COUNT(*) FILTER(
            WHERE total_orders&gt;=2
        ) AS repeat_customers,
        COUNT(*) AS purchasing_customers
    FROM customer_summary
),
cancel_metrics AS (
    SELECT
        COUNT(*) FILTER(
            WHERE cancel_reason IS NOT NULL
        ) AS cancelled_orders,
        COUNT(*) AS total_created_orders
    FROM orders
)
SELECT
    om.total_customers,
    om.total_orders,
    om.total_revenue,
    om.aov,
    ROUND(
        rm.repeat_customers*100.0
        /
        NULLIF(rm.purchasing_customers,0)
    ,2)
    AS repeat_customer_rate_percent,
    ROUND(
        cm.cancelled_orders*100.0
        /
        NULLIF(cm.total_created_orders,0)
    ,2)
    AS cancellation_rate_percent
FROM overall_metrics om
CROSS JOIN repeat_metrics rm
CROSS JOIN cancel_metrics cm;</t>
  </si>
  <si>
    <t>01/05/2026 - 18/05/2026</t>
  </si>
  <si>
    <t>Thống kê theo từng loại khách hàng</t>
  </si>
  <si>
    <t>WITH latest_orders AS (
    SELECT *
    FROM (
        SELECT
            od.order_sn,
            od.buyer_user_id,
            od.create_time,
            od.update_time,
            od.order_status,
            od.cancel_reason,
            ROW_NUMBER() OVER (
                PARTITION BY od.order_sn
                ORDER BY od.update_time DESC NULLS LAST
            ) AS rn
        FROM order_detail od
        WHERE od.user_email = 'mayoravietnam_customer@gmail.com'
          AND od.order_sn IS NOT NULL
          AND od.buyer_user_id IS NOT NULL
          AND od.create_time IS NOT NULL
          /* Giữ lịch sử để xác định khách mới / cũ */
          AND od.create_time &gt;= TIMESTAMP '2026-05-01 00:00:00.000'
          AND od.create_time &lt; TIMESTAMP '2026-05-18 00:00:00.000'
    ) x
    WHERE rn = 1
      /* Chỉ lấy đơn hợp lệ */
      AND NULLIF(TRIM(cancel_reason), '') IS NULL
      AND UPPER(TRIM(COALESCE(order_status, ''))) NOT IN (
          'CANCELLED',
          'IN_CANCEL',
          'CANCEL',
          'TO_CANCEL'
      )
),
/* Ngày mua đầu tiên trong toàn bộ lịch sử */
customer_first_order AS (
    SELECT
        buyer_user_id,
        MIN(create_time::date) AS first_order_date
    FROM latest_orders
    GROUP BY buyer_user_id
),
/* Khách phát sinh mua hàng trong từng ngày */
daily_customer AS (
    SELECT DISTINCT
        lo.create_time::date AS order_date,
        lo.buyer_user_id,
        CASE
            WHEN cfo.first_order_date = lo.create_time::date
                THEN 'Khách mới'
            ELSE 'Khách cũ'
        END AS customer_type
    FROM latest_orders lo
    JOIN customer_first_order cfo
        ON cfo.buyer_user_id = lo.buyer_user_id
    WHERE lo.create_time &gt;= TIMESTAMP '2026-05-01 00:00:00.000'
      AND lo.create_time &lt;  TIMESTAMP '2026-05-18 00:00:00.000'
),
/* Tạo đủ ngày, kể cả ngày không có khách */
dates AS (
    SELECT
        generate_series(
            DATE '2026-05-01',
            DATE '2026-05-17',
            INTERVAL '1 day'
        )::date AS order_date
)
SELECT
    d.order_date,
    COUNT(dc.buyer_user_id) FILTER (
        WHERE dc.customer_type = 'Khách mới'
    ) AS new_customers,
    COUNT(dc.buyer_user_id) FILTER (
        WHERE dc.customer_type = 'Khách cũ'
    ) AS existing_customers,
    COUNT(dc.buyer_user_id) AS total_customers
FROM dates d
LEFT JOIN daily_customer dc
    ON dc.order_date = d.order_date
GROUP BY d.order_date
ORDER BY d.order_date;
------------------------
#Doanh thu
WITH latest_orders AS (
    SELECT *
    FROM (
        SELECT
            od.order_sn,
            od.buyer_user_id,
            od.create_time,
            od.update_time,
            od.order_status,
            od.cancel_reason,
            COALESCE(od.total_amount, 0)::numeric AS total_amount,
            ROW_NUMBER() OVER (
                PARTITION BY od.order_sn
                ORDER BY od.update_time DESC NULLS LAST
            ) AS rn
        FROM order_detail od
        WHERE od.user_email = 'mayoravietnam_customer@gmail.com'
          AND od.order_sn IS NOT NULL
          AND od.buyer_user_id IS NOT NULL
          AND od.create_time IS NOT NULL
          /* Giữ lịch sử để xác định khách mới / cũ */
          AND od.create_time &gt;= TIMESTAMP '2026-05-01 00:00:00.000'
          AND od.update_time &lt; TIMESTAMP '2026-05-18 00:00:00.000'
    ) x
    WHERE rn = 1
      AND NULLIF(TRIM(cancel_reason), '') IS NULL
      AND UPPER(TRIM(COALESCE(order_status, ''))) NOT IN (
          'CANCELLED',
          'IN_CANCEL',
          'CANCEL',
          'TO_CANCEL'
      )
),
customer_first_order AS (
    SELECT
        buyer_user_id,
        MIN(create_time::date) AS first_order_date
    FROM latest_orders
    GROUP BY buyer_user_id
),
orders_in_period AS (
    SELECT
        lo.order_sn,
        lo.buyer_user_id,
        lo.create_time::date AS order_date,
        lo.total_amount,
        CASE
            WHEN cfo.first_order_date = lo.create_time::date
                THEN 'Khách mới'
            ELSE 'Khách cũ'
        END AS customer_type
    FROM latest_orders lo
    JOIN customer_first_order cfo
        ON cfo.buyer_user_id = lo.buyer_user_id
    WHERE lo.create_time &gt;= TIMESTAMP '2026-05-01 00:00:00.000'
      AND lo.create_time &lt;  TIMESTAMP '2026-05-18 00:00:00.000'
)
SELECT
    customer_type,
    SUM(total_amount) AS total_revenue,
    ROUND(
        SUM(total_amount) * 100.0
        / NULLIF(SUM(SUM(total_amount)) OVER (), 0),
        2
    ) AS revenue_contribution_percent
FROM orders_in_period
GROUP BY customer_type
ORDER BY
    CASE customer_type
        WHEN 'Khách mới' THEN 1
        WHEN 'Khách cũ' THEN 2
    END;</t>
  </si>
  <si>
    <t>Thời điểm mua hàng</t>
  </si>
  <si>
    <t xml:space="preserve">Theo khung giờ		</t>
  </si>
  <si>
    <t>WITH ranked_orders AS (
    SELECT
        od.order_sn,
        od.create_time,
        od.update_time,
        od.order_status,
        od.cancel_reason,
        ROW_NUMBER() OVER (
            PARTITION BY od.order_sn
            ORDER BY od.update_time DESC NULLS LAST
        ) AS rn
    FROM order_detail AS od
    WHERE od.user_email = 'mayoravietnam_customer@gmail.com'
      AND od.order_sn IS NOT NULL
      AND od.create_time IS NOT NULL
      AND od.create_time &gt;= TIMESTAMP '2026-05-01 00:00:00.000'
      AND od.update_time &lt;  TIMESTAMP '2026-05-18 00:00:00.000'
),
valid_orders AS (
    SELECT
        order_sn,
        create_time
    FROM ranked_orders
    WHERE rn = 1
      -- Loại đơn huỷ
      AND NULLIF(TRIM(cancel_reason), '') IS NULL
      AND UPPER(TRIM(COALESCE(order_status, ''))) NOT IN (
          'CANCELLED',
          'IN_CANCEL',
          'CANCEL',
          'TO_CANCEL'
      )
),
/* ================================
   Tạo đủ 7 ngày trong tuần
   ================================ */
weekdays AS (
    SELECT *
    FROM (
        VALUES
            (1, 'Thứ Hai'),
            (2, 'Thứ Ba'),
            (3, 'Thứ Tư'),
            (4, 'Thứ Năm'),
            (5, 'Thứ Sáu'),
            (6, 'Thứ Bảy'),
            (7, 'Chủ Nhật')
    ) AS w(weekday_number, weekday_name)
),
/* ================================
   Tạo đủ 6 khung giờ
   ================================ */
time_slots AS (
    SELECT *
    FROM (
        VALUES
            (1, '00:00 - 05:59'),
            (2, '06:00 - 08:59'),
            (3, '09:00 - 11:59'),
            (4, '12:00 - 14:59'),
            (5, '15:00 - 17:59'),
            (6, '18:00 - 23:59')
    ) AS t(time_slot_number, purchase_time_slot)
),
/* ================================
   Phân loại từng đơn
   theo ngày + khung giờ
   ================================ */
order_time_classification AS (
    SELECT
        order_sn,
        EXTRACT(ISODOW FROM create_time)::int
            AS weekday_number,
        CASE
            WHEN EXTRACT(HOUR FROM create_time) BETWEEN 0 AND 5
                THEN 1
            WHEN EXTRACT(HOUR FROM create_time) BETWEEN 6 AND 8
                THEN 2
            WHEN EXTRACT(HOUR FROM create_time) BETWEEN 9 AND 11
                THEN 3
            WHEN EXTRACT(HOUR FROM create_time) BETWEEN 12 AND 14
                THEN 4
            WHEN EXTRACT(HOUR FROM create_time) BETWEEN 15 AND 17
                THEN 5
            WHEN EXTRACT(HOUR FROM create_time) BETWEEN 18 AND 23
                THEN 6
        END AS time_slot_number
    FROM valid_orders
),
/* ================================
   Đếm số đơn thực tế
   ================================ */
order_summary AS (
    SELECT
        weekday_number,
        time_slot_number,
        COUNT(DISTINCT order_sn) AS total_orders
    FROM order_time_classification
    GROUP BY
        weekday_number,
        time_slot_number
),
/* ================================
   Tạo ma trận 7 ngày × 6 khung giờ
   ================================ */
heatmap_grid AS (
    SELECT
        w.weekday_number,
        w.weekday_name,
        t.time_slot_number,
        t.purchase_time_slot
    FROM weekdays AS w
    CROSS JOIN time_slots AS t
)
SELECT
    hg.weekday_name,
    hg.purchase_time_slot,
    COALESCE(os.total_orders, 0) AS total_orders
FROM heatmap_grid AS hg
LEFT JOIN order_summary AS os
    ON os.weekday_number = hg.weekday_number
   AND os.time_slot_number = hg.time_slot_number
ORDER BY
    hg.weekday_number,
    hg.time_slot_number;</t>
  </si>
  <si>
    <t>Theo thứ</t>
  </si>
  <si>
    <t>Total Customer</t>
  </si>
  <si>
    <t>Total Order</t>
  </si>
  <si>
    <t>Revenue</t>
  </si>
  <si>
    <t>AOV</t>
  </si>
  <si>
    <t>Customer Return Rate</t>
  </si>
  <si>
    <t>Cancel Rate</t>
  </si>
  <si>
    <t>Lý do huỷ đơn</t>
  </si>
  <si>
    <t>WITH orders AS (
    SELECT DISTINCT ON (od.order_sn)
        od.order_sn,
        od.cancel_reason,
        COALESCE(od.total_amount, 0)::numeric AS total_amount
    FROM order_detail od
    WHERE od.user_email = 'mayoravietnam_customer@gmail.com'
      AND od.order_sn IS NOT NULL
      AND od.create_time &gt;= TIMESTAMP '2026-07-27 00:00:00.000'
      AND od.create_time &lt;  TIMESTAMP '2026-08-03 00:00:00.000'
      AND od.update_time &lt;  TIMESTAMP '2026-08-03 00:00:00.000'
    ORDER BY
        od.order_sn,
        od.update_time DESC NULLS LAST
),
cancel_summary AS (
    SELECT
        TRIM(cancel_reason) AS cancel_reason,
        COUNT(*) AS cancelled_orders,
        SUM(total_amount) AS lost_revenue
    FROM orders
    WHERE NULLIF(TRIM(cancel_reason), '') IS NOT NULL
    GROUP BY TRIM(cancel_reason)
)
SELECT
    cancel_reason,
    cancelled_orders,
    ROUND(
        cancelled_orders * 100.0
        / NULLIF(SUM(cancelled_orders) OVER (), 0),
        2
    ) AS cancel_reason_rate_percent,
    lost_revenue,
    ROUND(
        lost_revenue * 100.0
        / NULLIF(SUM(lost_revenue) OVER (), 0),
        2
    ) AS lost_revenue_rate_percent
FROM cancel_summary
ORDER BY cancelled_orders DESC;</t>
  </si>
  <si>
    <t>Xu hướng mua sắm</t>
  </si>
  <si>
    <t xml:space="preserve">Theo số lượng </t>
  </si>
  <si>
    <t>Danh mục bán lẻ/combo</t>
  </si>
  <si>
    <t>WITH latest_orders AS (
    SELECT *
    FROM (
        SELECT
            od.*,
            ROW_NUMBER() OVER (
                PARTITION BY od.order_sn
                ORDER BY od.update_time DESC NULLS LAST
            ) AS rn
        FROM order_detail od
        WHERE od.user_email = 'mayoravietnam_customer@gmail.com'
          AND od.order_sn IS NOT NULL
          AND od.item_list IS NOT NULL
          AND od.create_time &gt;= TIMESTAMP '2026-05-01 00:00:00.000'
          AND od.create_time &lt;  TIMESTAMP '2026-05-18 00:00:00.000'
    ) x
    WHERE rn = 1
      AND NULLIF(TRIM(cancel_reason), '') IS NULL
),
items AS (
    SELECT
        lo.order_sn,
        split_part(item-&gt;&gt;0, ': ', 2) AS item_id,
        split_part(item-&gt;&gt;2, ': ', 2) AS item_name,
        split_part(item-&gt;&gt;4, ': ', 2) AS model_name,
        COALESCE(
            NULLIF(split_part(item-&gt;&gt;5, ': ', 2), '')::numeric,
            0
        ) AS unit_price,
        COALESCE(
            NULLIF(split_part(item-&gt;&gt;7, ': ', 2), '')::int,
            0
        ) AS quantity,
        CASE
            WHEN LOWER(COALESCE(split_part(item-&gt;&gt;2, ': ', 2), '')) LIKE '%combo%'
              OR LOWER(COALESCE(split_part(item-&gt;&gt;4, ': ', 2), '')) LIKE '%combo%'
              OR LOWER(COALESCE(split_part(item-&gt;&gt;2, ': ', 2), '')) LIKE '%set%'
              OR LOWER(COALESCE(split_part(item-&gt;&gt;4, ': ', 2), '')) LIKE '%set%'
              OR LOWER(COALESCE(split_part(item-&gt;&gt;2, ': ', 2), '')) LIKE '%bộ%'
              OR LOWER(COALESCE(split_part(item-&gt;&gt;4, ': ', 2), '')) LIKE '%bộ%'
            THEN 'Combo'
            ELSE 'Bán lẻ'
        END AS product_type
    FROM latest_orders lo
    CROSS JOIN LATERAL jsonb_array_elements(lo.item_list::jsonb) AS item
),
product_summary AS (
    SELECT
        product_type,
        item_id,
        item_name,
        SUM(quantity) AS total_quantity_sold,
        COUNT(DISTINCT order_sn) AS total_orders,
        SUM(unit_price * quantity) AS product_sales
    FROM items
    /* Loại quà tặng không có doanh thu */
    WHERE unit_price &gt; 0
      AND quantity &gt; 0
    GROUP BY
        product_type,
        item_id,
        item_name
),
ranked_products AS (
    SELECT
        *,
        ROW_NUMBER() OVER (
            PARTITION BY product_type
            ORDER BY total_quantity_sold DESC
        ) AS product_rank
    FROM product_summary
)
SELECT
    product_type,
    product_rank,
    item_id,
    item_name,
    total_quantity_sold,
    total_orders,
    product_sales
FROM ranked_products
WHERE product_rank &lt;= 10
ORDER BY
    CASE product_type
        WHEN 'Combo' THEN 1
        WHEN 'Bán lẻ' THEN 2
    END,
    product_rank;</t>
  </si>
  <si>
    <t>Ngày</t>
  </si>
  <si>
    <t>Khách mới</t>
  </si>
  <si>
    <t>Khách cũ</t>
  </si>
  <si>
    <t>Đề xuất</t>
  </si>
  <si>
    <t>WITH latest_orders AS (
    SELECT *
    FROM (
        SELECT
            od.*,
            ROW_NUMBER() OVER (
                PARTITION BY od.order_sn
                ORDER BY od.update_time DESC NULLS LAST
            ) AS rn
        FROM order_detail od
        WHERE od.user_email = 'mayoravietnam_customer@gmail.com'
          AND od.order_sn IS NOT NULL
          AND od.item_list IS NOT NULL
          AND od.create_time &gt;= TIMESTAMP '2026-05-01 00:00:00.000'
          AND od.create_time &lt;  TIMESTAMP '2026-05-18 00:00:00.000'
    ) x
    WHERE rn = 1
      AND NULLIF(TRIM(cancel_reason), '') IS NULL
),
items AS (
    SELECT
        lo.order_sn,
        split_part(item-&gt;&gt;0, ': ', 2) AS item_id,
        split_part(item-&gt;&gt;2, ': ', 2) AS item_name,
        split_part(item-&gt;&gt;4, ': ', 2) AS model_name,
        COALESCE(
            NULLIF(split_part(item-&gt;&gt;5, ': ', 2), '')::numeric,
            0
        ) AS unit_price,
        COALESCE(
            NULLIF(split_part(item-&gt;&gt;7, ': ', 2), '')::int,
            0
        ) AS quantity
    FROM latest_orders lo
    CROSS JOIN LATERAL
        jsonb_array_elements(lo.item_list::jsonb) AS item
),
retail_items AS (
    SELECT DISTINCT
        order_sn,
        item_id,
        item_name
    FROM items
    WHERE unit_price &gt; 0
      AND quantity &gt; 0
      /* Chỉ lấy sản phẩm bán lẻ */
      AND LOWER(COALESCE(item_name, '')) NOT LIKE '%combo%'
      AND LOWER(COALESCE(model_name, '')) NOT LIKE '%combo%'
      AND LOWER(COALESCE(item_name, '')) NOT LIKE '%set%'
      AND LOWER(COALESCE(model_name, '')) NOT LIKE '%set%'
      AND LOWER(COALESCE(item_name, '')) NOT LIKE '%bộ%'
      AND LOWER(COALESCE(model_name, '')) NOT LIKE '%bộ%'
),
product_pairs AS (
    SELECT
        a.order_sn,
        a.item_id   AS item_id_1,
        a.item_name AS item_name_1,
        b.item_id   AS item_id_2,
        b.item_name AS item_name_2
    FROM retail_items a
    JOIN retail_items b
        ON a.order_sn = b.order_sn
        /* Không ghép sản phẩm với chính nó */
        AND a.item_id &lt; b.item_id
),
pair_summary AS (
    SELECT
        item_id_1,
        item_name_1,
        item_id_2,
        item_name_2,
        COUNT(DISTINCT order_sn) AS orders_bought_together
    FROM product_pairs
    GROUP BY
        item_id_1,
        item_name_1,
        item_id_2,
        item_name_2
)
SELECT
    ROW_NUMBER() OVER (
        ORDER BY orders_bought_together DESC
    ) AS pair_rank,
    item_id_1,
    item_name_1,
    item_id_2,
    item_name_2,
    orders_bought_together
FROM pair_summary
ORDER BY
    orders_bought_together DESC
LIMIT 5;</t>
  </si>
  <si>
    <t>Theo đóng góp doanh thu</t>
  </si>
  <si>
    <t>Theo thời điểm mua hàng</t>
  </si>
  <si>
    <t>Theo khung giờ</t>
  </si>
  <si>
    <t>Thứ</t>
  </si>
  <si>
    <t>Khung giờ</t>
  </si>
  <si>
    <t>Tổng số đơn hàng</t>
  </si>
  <si>
    <t>Thứ Hai</t>
  </si>
  <si>
    <t>00:00 - 05:59</t>
  </si>
  <si>
    <t>06:00 - 08:59</t>
  </si>
  <si>
    <t>09:00 - 11:59</t>
  </si>
  <si>
    <t>12:00 - 14:59</t>
  </si>
  <si>
    <t>15:00 - 17:59</t>
  </si>
  <si>
    <t>18:00 - 23:59</t>
  </si>
  <si>
    <t>Thứ Ba</t>
  </si>
  <si>
    <t>Thứ Tư</t>
  </si>
  <si>
    <t>Thứ Năm</t>
  </si>
  <si>
    <t>Thứ Sáu</t>
  </si>
  <si>
    <t>Thứ Bảy</t>
  </si>
  <si>
    <t>Chủ Nhật</t>
  </si>
  <si>
    <t xml:space="preserve">Thứ </t>
  </si>
  <si>
    <t>Tổng số đơn</t>
  </si>
  <si>
    <t>Thống kê lý do huỷ đơn</t>
  </si>
  <si>
    <t>Lý do</t>
  </si>
  <si>
    <t>Số lượng</t>
  </si>
  <si>
    <t>Doanh thu</t>
  </si>
  <si>
    <t>modify existing order (colour, size, address, voucher, etc.)</t>
  </si>
  <si>
    <t>other</t>
  </si>
  <si>
    <t>need to input / change voucher code</t>
  </si>
  <si>
    <t>need to change delivery address</t>
  </si>
  <si>
    <t>need to modify order</t>
  </si>
  <si>
    <t>unpaid order</t>
  </si>
  <si>
    <t>found cheaper elsewhere</t>
  </si>
  <si>
    <t>don't want to buy anymore</t>
  </si>
  <si>
    <t>failed delivery</t>
  </si>
  <si>
    <t>payment procedure too troublesome</t>
  </si>
  <si>
    <t>out of stock</t>
  </si>
  <si>
    <t>%</t>
  </si>
  <si>
    <t>Combo</t>
  </si>
  <si>
    <t>Bán lẻ</t>
  </si>
  <si>
    <t>Hỗn hợp</t>
  </si>
  <si>
    <t>38.37</t>
  </si>
  <si>
    <t>44.89</t>
  </si>
  <si>
    <t>16.73</t>
  </si>
  <si>
    <t>Danh mục sản phẩm</t>
  </si>
  <si>
    <t>item id</t>
  </si>
  <si>
    <t>Số lượng sản phẩm</t>
  </si>
  <si>
    <t>Số đơn</t>
  </si>
  <si>
    <t>Combo 2 Hủ Kẹo Cà Phê Sữa Mayora Kopiko 560G</t>
  </si>
  <si>
    <t>Combo 2</t>
  </si>
  <si>
    <t>Cà Phê Sữa Hòa Tan Mayora Kopiko Macchiato 400G</t>
  </si>
  <si>
    <t>COMBO 5 GÓI</t>
  </si>
  <si>
    <t>Bánh Quy Mayora Danisa Chocofello 150G</t>
  </si>
  <si>
    <t>combo 2 hộp</t>
  </si>
  <si>
    <t>COMBO 2 GÓI</t>
  </si>
  <si>
    <t>Combo Best Seller</t>
  </si>
  <si>
    <t>Combo 2 Kẹo Cà Phê Sữa Mayora Kopiko 135G</t>
  </si>
  <si>
    <t>2 gói cà phê sữa</t>
  </si>
  <si>
    <t>Combo 2 Loại Bánh Quy Mayora</t>
  </si>
  <si>
    <t>Combo Coffee Premium</t>
  </si>
  <si>
    <t>Combo Lucky Day</t>
  </si>
  <si>
    <t>lốc LuckyDay+Kẹo Sữa</t>
  </si>
  <si>
    <t>Combo 2 Bánh Quy Sữa Mới Mayora D-Maxx Marie – Túi  528G (24 Gói X 22G)</t>
  </si>
  <si>
    <t>1 gói 528G</t>
  </si>
  <si>
    <t>Kẹo Mayora Cà Phê Kopiko 560G</t>
  </si>
  <si>
    <t>Bánh Quy Bơ Mayora Danisa 200G</t>
  </si>
  <si>
    <t>Kẹo Cà Phê Sữa Mayora Kopiko 140G</t>
  </si>
  <si>
    <t>Bánh Quy Bơ Mayora Danisa 681G</t>
  </si>
  <si>
    <t>Bánh Xốp Mayora Wafello Chocolate 210G</t>
  </si>
  <si>
    <t>Kẹo Cà Phê Sữa Mayora Kopiko 560G</t>
  </si>
  <si>
    <t>Kẹo Mayora The Fres Barley 150G</t>
  </si>
  <si>
    <t>Combo đề xuất</t>
  </si>
  <si>
    <t>Item id</t>
  </si>
  <si>
    <t>Item 1</t>
  </si>
  <si>
    <t>Item 2</t>
  </si>
  <si>
    <t>Số lượng đơn</t>
  </si>
  <si>
    <t>Bánh quy Danisa Chocofello 150g</t>
  </si>
  <si>
    <t>Bánh Quy Bơ &amp; Cacao Danisa Abbracci Hộp 168g</t>
  </si>
  <si>
    <t>BÁNH QUY BƠ DANISA 200G</t>
  </si>
  <si>
    <t>BÁNH QUY SỮA MỚI MAYORA D-MAXX MARIE - HỘP GIẤY 308G (14 GÓI X 22G)</t>
  </si>
  <si>
    <t>BÁNH QUY BƠ &amp; CACAO MAYORA DANISA ABBRACCI HỘP 168G</t>
  </si>
  <si>
    <t>Bánh Xốp Mayora Superstar Triple Choco Hộp 150G</t>
  </si>
  <si>
    <t>BÁNH QUY BƠ MAYORA DANISA 200G</t>
  </si>
  <si>
    <t xml:space="preserve"> % đóng góp doanh thu</t>
  </si>
  <si>
    <t>% đóng góp theo số lưọng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</si>
</sst>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\.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9" fontId="2" fillId="0" borderId="0" xfId="0" applyNumberFormat="1" applyFont="1"/>
    <xf numFmtId="39" fontId="3" fillId="0" borderId="0" xfId="0" applyNumberFormat="1" applyFont="1" applyAlignment="1">
      <alignment horizontal="center"/>
    </xf>
    <xf numFmtId="37" fontId="2" fillId="0" borderId="0" xfId="0" applyNumberFormat="1" applyFont="1"/>
    <xf numFmtId="39" fontId="2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39" fontId="3" fillId="0" borderId="0" xfId="0" applyNumberFormat="1" applyFont="1" applyAlignment="1">
      <alignment horizontal="center"/>
    </xf>
    <xf numFmtId="0" fontId="0" fillId="0" borderId="0" xfId="0"/>
    <xf numFmtId="39" fontId="2" fillId="0" borderId="0" xfId="0" applyNumberFormat="1" applyFont="1" applyAlignment="1">
      <alignment horizontal="center"/>
    </xf>
    <xf numFmtId="39" fontId="2" fillId="0" borderId="0" xfId="0" applyNumberFormat="1" applyFont="1"/>
    <xf numFmtId="3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59</xdr:row>
      <xdr:rowOff>0</xdr:rowOff>
    </xdr:from>
    <xdr:ext cx="17449800" cy="33909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6"/>
  <sheetViews>
    <sheetView tabSelected="1" workbookViewId="0">
      <selection activeCell="E15" sqref="E15"/>
    </sheetView>
  </sheetViews>
  <sheetFormatPr baseColWidth="10" defaultColWidth="12.6640625" defaultRowHeight="15.75" customHeight="1" x14ac:dyDescent="0.15"/>
  <cols>
    <col min="1" max="26" width="17.6640625" customWidth="1"/>
  </cols>
  <sheetData>
    <row r="1" spans="1:26" ht="13" x14ac:dyDescent="0.15">
      <c r="A1" s="13" t="s">
        <v>2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15">
      <c r="A2" s="10" t="s">
        <v>0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15">
      <c r="A4" s="4">
        <v>488</v>
      </c>
      <c r="B4" s="4">
        <v>530</v>
      </c>
      <c r="C4" s="4">
        <v>57671416</v>
      </c>
      <c r="D4" s="2">
        <v>108813.99</v>
      </c>
      <c r="E4" s="2">
        <v>77.38</v>
      </c>
      <c r="F4" s="2">
        <v>16.670000000000002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15">
      <c r="A5" s="10" t="s">
        <v>3</v>
      </c>
      <c r="B5" s="11"/>
      <c r="C5" s="1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" x14ac:dyDescent="0.15">
      <c r="A6" s="5" t="s">
        <v>18</v>
      </c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" x14ac:dyDescent="0.15">
      <c r="A7" s="6" t="s">
        <v>21</v>
      </c>
      <c r="B7" s="4" t="s">
        <v>22</v>
      </c>
      <c r="C7" s="4" t="s">
        <v>23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" x14ac:dyDescent="0.15">
      <c r="A8" s="7">
        <v>46143</v>
      </c>
      <c r="B8" s="4">
        <v>0</v>
      </c>
      <c r="C8" s="4"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" x14ac:dyDescent="0.15">
      <c r="A9" s="7">
        <v>46144</v>
      </c>
      <c r="B9" s="4">
        <v>4</v>
      </c>
      <c r="C9" s="4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" x14ac:dyDescent="0.15">
      <c r="A10" s="7">
        <v>46145</v>
      </c>
      <c r="B10" s="4">
        <v>15</v>
      </c>
      <c r="C10" s="4">
        <v>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" x14ac:dyDescent="0.15">
      <c r="A11" s="7">
        <v>46146</v>
      </c>
      <c r="B11" s="4">
        <v>24</v>
      </c>
      <c r="C11" s="4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" x14ac:dyDescent="0.15">
      <c r="A12" s="7">
        <v>46147</v>
      </c>
      <c r="B12" s="4">
        <v>29</v>
      </c>
      <c r="C12" s="4">
        <v>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" x14ac:dyDescent="0.15">
      <c r="A13" s="7">
        <v>46148</v>
      </c>
      <c r="B13" s="4">
        <v>29</v>
      </c>
      <c r="C13" s="4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" x14ac:dyDescent="0.15">
      <c r="A14" s="7">
        <v>46149</v>
      </c>
      <c r="B14" s="4">
        <v>14</v>
      </c>
      <c r="C14" s="4">
        <v>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" x14ac:dyDescent="0.15">
      <c r="A15" s="7">
        <v>46150</v>
      </c>
      <c r="B15" s="4">
        <v>22</v>
      </c>
      <c r="C15" s="4">
        <v>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" x14ac:dyDescent="0.15">
      <c r="A16" s="7">
        <v>46151</v>
      </c>
      <c r="B16" s="4">
        <v>25</v>
      </c>
      <c r="C16" s="4">
        <v>12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" x14ac:dyDescent="0.15">
      <c r="A17" s="7">
        <v>46152</v>
      </c>
      <c r="B17" s="4">
        <v>24</v>
      </c>
      <c r="C17" s="4">
        <v>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" x14ac:dyDescent="0.15">
      <c r="A18" s="7">
        <v>46153</v>
      </c>
      <c r="B18" s="4">
        <v>24</v>
      </c>
      <c r="C18" s="4">
        <v>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" x14ac:dyDescent="0.15">
      <c r="A19" s="7">
        <v>46154</v>
      </c>
      <c r="B19" s="4">
        <v>22</v>
      </c>
      <c r="C19" s="4">
        <v>12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 x14ac:dyDescent="0.15">
      <c r="A20" s="7">
        <v>46155</v>
      </c>
      <c r="B20" s="4">
        <v>17</v>
      </c>
      <c r="C20" s="4">
        <v>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" x14ac:dyDescent="0.15">
      <c r="A21" s="7">
        <v>46156</v>
      </c>
      <c r="B21" s="4">
        <v>9</v>
      </c>
      <c r="C21" s="4"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" x14ac:dyDescent="0.15">
      <c r="A22" s="7">
        <v>46157</v>
      </c>
      <c r="B22" s="4">
        <v>8</v>
      </c>
      <c r="C22" s="4"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" x14ac:dyDescent="0.15">
      <c r="A23" s="7">
        <v>46158</v>
      </c>
      <c r="B23" s="4">
        <v>1</v>
      </c>
      <c r="C23" s="4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" x14ac:dyDescent="0.15">
      <c r="A24" s="7">
        <v>46159</v>
      </c>
      <c r="B24" s="4">
        <v>0</v>
      </c>
      <c r="C24" s="4"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" x14ac:dyDescent="0.15">
      <c r="A25" s="12" t="s">
        <v>26</v>
      </c>
      <c r="B25" s="11"/>
      <c r="C25" s="1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 x14ac:dyDescent="0.15">
      <c r="A26" s="2"/>
      <c r="B26" s="2" t="s">
        <v>22</v>
      </c>
      <c r="C26" s="2" t="s">
        <v>23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" x14ac:dyDescent="0.15">
      <c r="A27" s="14" t="s">
        <v>109</v>
      </c>
      <c r="B27" s="2">
        <v>74.08</v>
      </c>
      <c r="C27" s="2">
        <v>25.92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" x14ac:dyDescent="0.15">
      <c r="A28" s="14" t="s">
        <v>108</v>
      </c>
      <c r="B28" s="2">
        <v>69.11</v>
      </c>
      <c r="C28" s="2">
        <v>30.89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" x14ac:dyDescent="0.15">
      <c r="A29" s="10" t="s">
        <v>27</v>
      </c>
      <c r="B29" s="11"/>
      <c r="C29" s="1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" x14ac:dyDescent="0.15">
      <c r="A30" s="12" t="s">
        <v>28</v>
      </c>
      <c r="B30" s="11"/>
      <c r="C30" s="1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" x14ac:dyDescent="0.15">
      <c r="A31" s="2" t="s">
        <v>29</v>
      </c>
      <c r="B31" s="2" t="s">
        <v>30</v>
      </c>
      <c r="C31" s="2" t="s">
        <v>31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" x14ac:dyDescent="0.15">
      <c r="A32" s="2" t="s">
        <v>32</v>
      </c>
      <c r="B32" s="2" t="s">
        <v>33</v>
      </c>
      <c r="C32" s="4">
        <v>22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 x14ac:dyDescent="0.15">
      <c r="A33" s="2" t="s">
        <v>32</v>
      </c>
      <c r="B33" s="2" t="s">
        <v>34</v>
      </c>
      <c r="C33" s="4">
        <v>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 x14ac:dyDescent="0.15">
      <c r="A34" s="2" t="s">
        <v>32</v>
      </c>
      <c r="B34" s="2" t="s">
        <v>35</v>
      </c>
      <c r="C34" s="4">
        <v>10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 x14ac:dyDescent="0.15">
      <c r="A35" s="2" t="s">
        <v>32</v>
      </c>
      <c r="B35" s="2" t="s">
        <v>36</v>
      </c>
      <c r="C35" s="4">
        <v>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 x14ac:dyDescent="0.15">
      <c r="A36" s="2" t="s">
        <v>32</v>
      </c>
      <c r="B36" s="2" t="s">
        <v>37</v>
      </c>
      <c r="C36" s="4">
        <v>12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 x14ac:dyDescent="0.15">
      <c r="A37" s="2" t="s">
        <v>32</v>
      </c>
      <c r="B37" s="2" t="s">
        <v>38</v>
      </c>
      <c r="C37" s="4">
        <v>10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 x14ac:dyDescent="0.15">
      <c r="A38" s="2" t="s">
        <v>39</v>
      </c>
      <c r="B38" s="2" t="s">
        <v>33</v>
      </c>
      <c r="C38" s="4">
        <v>26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 x14ac:dyDescent="0.15">
      <c r="A39" s="2" t="s">
        <v>39</v>
      </c>
      <c r="B39" s="2" t="s">
        <v>34</v>
      </c>
      <c r="C39" s="4">
        <v>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 x14ac:dyDescent="0.15">
      <c r="A40" s="2" t="s">
        <v>39</v>
      </c>
      <c r="B40" s="2" t="s">
        <v>35</v>
      </c>
      <c r="C40" s="4">
        <v>10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 x14ac:dyDescent="0.15">
      <c r="A41" s="2" t="s">
        <v>39</v>
      </c>
      <c r="B41" s="2" t="s">
        <v>36</v>
      </c>
      <c r="C41" s="4">
        <v>17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 x14ac:dyDescent="0.15">
      <c r="A42" s="2" t="s">
        <v>39</v>
      </c>
      <c r="B42" s="2" t="s">
        <v>37</v>
      </c>
      <c r="C42" s="4">
        <v>11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 x14ac:dyDescent="0.15">
      <c r="A43" s="2" t="s">
        <v>39</v>
      </c>
      <c r="B43" s="2" t="s">
        <v>38</v>
      </c>
      <c r="C43" s="4">
        <v>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 x14ac:dyDescent="0.15">
      <c r="A44" s="2" t="s">
        <v>40</v>
      </c>
      <c r="B44" s="2" t="s">
        <v>33</v>
      </c>
      <c r="C44" s="4">
        <v>30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 x14ac:dyDescent="0.15">
      <c r="A45" s="2" t="s">
        <v>40</v>
      </c>
      <c r="B45" s="2" t="s">
        <v>34</v>
      </c>
      <c r="C45" s="4">
        <v>25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 t="s">
        <v>40</v>
      </c>
      <c r="B46" s="2" t="s">
        <v>35</v>
      </c>
      <c r="C46" s="4">
        <v>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 t="s">
        <v>40</v>
      </c>
      <c r="B47" s="2" t="s">
        <v>36</v>
      </c>
      <c r="C47" s="4">
        <v>10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 t="s">
        <v>40</v>
      </c>
      <c r="B48" s="2" t="s">
        <v>37</v>
      </c>
      <c r="C48" s="4">
        <v>11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 t="s">
        <v>40</v>
      </c>
      <c r="B49" s="2" t="s">
        <v>38</v>
      </c>
      <c r="C49" s="4">
        <v>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 t="s">
        <v>41</v>
      </c>
      <c r="B50" s="2" t="s">
        <v>33</v>
      </c>
      <c r="C50" s="4">
        <v>22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 t="s">
        <v>41</v>
      </c>
      <c r="B51" s="2" t="s">
        <v>34</v>
      </c>
      <c r="C51" s="4">
        <v>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 t="s">
        <v>41</v>
      </c>
      <c r="B52" s="2" t="s">
        <v>35</v>
      </c>
      <c r="C52" s="4">
        <v>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 t="s">
        <v>41</v>
      </c>
      <c r="B53" s="2" t="s">
        <v>36</v>
      </c>
      <c r="C53" s="4">
        <v>13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 t="s">
        <v>41</v>
      </c>
      <c r="B54" s="2" t="s">
        <v>37</v>
      </c>
      <c r="C54" s="4">
        <v>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 t="s">
        <v>41</v>
      </c>
      <c r="B55" s="2" t="s">
        <v>38</v>
      </c>
      <c r="C55" s="4">
        <v>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 t="s">
        <v>42</v>
      </c>
      <c r="B56" s="2" t="s">
        <v>33</v>
      </c>
      <c r="C56" s="4">
        <v>30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 t="s">
        <v>42</v>
      </c>
      <c r="B57" s="2" t="s">
        <v>34</v>
      </c>
      <c r="C57" s="4">
        <v>15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 t="s">
        <v>42</v>
      </c>
      <c r="B58" s="2" t="s">
        <v>35</v>
      </c>
      <c r="C58" s="4">
        <v>10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 t="s">
        <v>42</v>
      </c>
      <c r="B59" s="2" t="s">
        <v>36</v>
      </c>
      <c r="C59" s="4">
        <v>15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 t="s">
        <v>42</v>
      </c>
      <c r="B60" s="2" t="s">
        <v>37</v>
      </c>
      <c r="C60" s="4">
        <v>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 t="s">
        <v>42</v>
      </c>
      <c r="B61" s="2" t="s">
        <v>38</v>
      </c>
      <c r="C61" s="4">
        <v>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 t="s">
        <v>43</v>
      </c>
      <c r="B62" s="2" t="s">
        <v>33</v>
      </c>
      <c r="C62" s="4">
        <v>19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 t="s">
        <v>43</v>
      </c>
      <c r="B63" s="2" t="s">
        <v>34</v>
      </c>
      <c r="C63" s="4">
        <v>10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 t="s">
        <v>43</v>
      </c>
      <c r="B64" s="2" t="s">
        <v>35</v>
      </c>
      <c r="C64" s="4">
        <v>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 t="s">
        <v>43</v>
      </c>
      <c r="B65" s="2" t="s">
        <v>36</v>
      </c>
      <c r="C65" s="4">
        <v>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 t="s">
        <v>43</v>
      </c>
      <c r="B66" s="2" t="s">
        <v>37</v>
      </c>
      <c r="C66" s="4">
        <v>12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 t="s">
        <v>43</v>
      </c>
      <c r="B67" s="2" t="s">
        <v>38</v>
      </c>
      <c r="C67" s="4">
        <v>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 t="s">
        <v>44</v>
      </c>
      <c r="B68" s="2" t="s">
        <v>33</v>
      </c>
      <c r="C68" s="4">
        <v>24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 t="s">
        <v>44</v>
      </c>
      <c r="B69" s="2" t="s">
        <v>34</v>
      </c>
      <c r="C69" s="4">
        <v>10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 t="s">
        <v>44</v>
      </c>
      <c r="B70" s="2" t="s">
        <v>35</v>
      </c>
      <c r="C70" s="4">
        <v>19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 t="s">
        <v>44</v>
      </c>
      <c r="B71" s="2" t="s">
        <v>36</v>
      </c>
      <c r="C71" s="4">
        <v>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 t="s">
        <v>44</v>
      </c>
      <c r="B72" s="2" t="s">
        <v>37</v>
      </c>
      <c r="C72" s="4">
        <v>11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 t="s">
        <v>44</v>
      </c>
      <c r="B73" s="2" t="s">
        <v>38</v>
      </c>
      <c r="C73" s="4">
        <v>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12" t="s">
        <v>8</v>
      </c>
      <c r="B74" s="11"/>
      <c r="C74" s="1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 t="s">
        <v>45</v>
      </c>
      <c r="B75" s="2" t="s">
        <v>46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 t="s">
        <v>32</v>
      </c>
      <c r="B76" s="4">
        <v>68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 t="s">
        <v>39</v>
      </c>
      <c r="B77" s="4">
        <v>89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 t="s">
        <v>40</v>
      </c>
      <c r="B78" s="4">
        <v>87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 t="s">
        <v>41</v>
      </c>
      <c r="B79" s="4">
        <v>64</v>
      </c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 t="s">
        <v>42</v>
      </c>
      <c r="B80" s="4">
        <v>80</v>
      </c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 t="s">
        <v>43</v>
      </c>
      <c r="B81" s="4">
        <v>65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 t="s">
        <v>44</v>
      </c>
      <c r="B82" s="4">
        <v>77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10" t="s">
        <v>47</v>
      </c>
      <c r="B83" s="11"/>
      <c r="C83" s="1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 t="s">
        <v>48</v>
      </c>
      <c r="B84" s="2" t="s">
        <v>49</v>
      </c>
      <c r="C84" s="2" t="s">
        <v>50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 t="s">
        <v>51</v>
      </c>
      <c r="B85" s="4">
        <v>29</v>
      </c>
      <c r="C85" s="4">
        <v>5149401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 t="s">
        <v>52</v>
      </c>
      <c r="B86" s="4">
        <v>19</v>
      </c>
      <c r="C86" s="4">
        <v>2029562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 t="s">
        <v>53</v>
      </c>
      <c r="B87" s="4">
        <v>13</v>
      </c>
      <c r="C87" s="4">
        <v>1697365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 t="s">
        <v>54</v>
      </c>
      <c r="B88" s="4">
        <v>10</v>
      </c>
      <c r="C88" s="4">
        <v>1200881</v>
      </c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 t="s">
        <v>55</v>
      </c>
      <c r="B89" s="4">
        <v>9</v>
      </c>
      <c r="C89" s="4">
        <v>735961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 t="s">
        <v>56</v>
      </c>
      <c r="B90" s="4">
        <v>7</v>
      </c>
      <c r="C90" s="4">
        <v>660315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 t="s">
        <v>57</v>
      </c>
      <c r="B91" s="4">
        <v>7</v>
      </c>
      <c r="C91" s="4">
        <v>492519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 t="s">
        <v>58</v>
      </c>
      <c r="B92" s="4">
        <v>6</v>
      </c>
      <c r="C92" s="4">
        <v>802900</v>
      </c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 t="s">
        <v>59</v>
      </c>
      <c r="B93" s="4">
        <v>3</v>
      </c>
      <c r="C93" s="4">
        <v>305000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 t="s">
        <v>60</v>
      </c>
      <c r="B94" s="4">
        <v>2</v>
      </c>
      <c r="C94" s="4">
        <v>161000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 t="s">
        <v>61</v>
      </c>
      <c r="B95" s="4">
        <v>1</v>
      </c>
      <c r="C95" s="4">
        <v>40300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4">
        <f>SUM(C84:C95)</f>
        <v>13275204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10" t="s">
        <v>17</v>
      </c>
      <c r="B97" s="11"/>
      <c r="C97" s="1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3"/>
      <c r="B98" s="5" t="s">
        <v>49</v>
      </c>
      <c r="C98" s="5" t="s">
        <v>62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 t="s">
        <v>63</v>
      </c>
      <c r="B99" s="4">
        <v>80</v>
      </c>
      <c r="C99" s="2">
        <f t="shared" ref="C99:C101" si="0">B99/SUM($B$99:$B$101)*100</f>
        <v>32.388663967611336</v>
      </c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 t="s">
        <v>64</v>
      </c>
      <c r="B100" s="4">
        <v>137</v>
      </c>
      <c r="C100" s="2">
        <f t="shared" si="0"/>
        <v>55.465587044534416</v>
      </c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 t="s">
        <v>65</v>
      </c>
      <c r="B101" s="4">
        <v>30</v>
      </c>
      <c r="C101" s="2">
        <f t="shared" si="0"/>
        <v>12.145748987854251</v>
      </c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5" t="s">
        <v>50</v>
      </c>
      <c r="C102" s="5" t="s">
        <v>62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 t="s">
        <v>63</v>
      </c>
      <c r="B103" s="4">
        <v>11545411</v>
      </c>
      <c r="C103" s="2" t="s">
        <v>66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 t="s">
        <v>64</v>
      </c>
      <c r="B104" s="4">
        <v>13507069</v>
      </c>
      <c r="C104" s="2" t="s">
        <v>67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 t="s">
        <v>65</v>
      </c>
      <c r="B105" s="4">
        <v>5034040</v>
      </c>
      <c r="C105" s="2" t="s">
        <v>68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12" t="s">
        <v>69</v>
      </c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 t="s">
        <v>63</v>
      </c>
      <c r="C107" s="2" t="s">
        <v>70</v>
      </c>
      <c r="D107" s="2"/>
      <c r="E107" s="2" t="s">
        <v>71</v>
      </c>
      <c r="F107" s="2" t="s">
        <v>72</v>
      </c>
      <c r="G107" s="2" t="s">
        <v>50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4">
        <v>1</v>
      </c>
      <c r="B108" s="2" t="s">
        <v>73</v>
      </c>
      <c r="C108" s="9">
        <v>20140942183</v>
      </c>
      <c r="D108" s="4" t="s">
        <v>74</v>
      </c>
      <c r="E108" s="4">
        <v>7</v>
      </c>
      <c r="F108" s="4">
        <v>7</v>
      </c>
      <c r="G108" s="4">
        <v>1220100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4">
        <v>2</v>
      </c>
      <c r="B109" s="2" t="s">
        <v>75</v>
      </c>
      <c r="C109" s="9">
        <v>15484234913</v>
      </c>
      <c r="D109" s="4" t="s">
        <v>76</v>
      </c>
      <c r="E109" s="4">
        <v>7</v>
      </c>
      <c r="F109" s="4">
        <v>6</v>
      </c>
      <c r="G109" s="4">
        <v>3130400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4">
        <v>3</v>
      </c>
      <c r="B110" s="2" t="s">
        <v>77</v>
      </c>
      <c r="C110" s="9">
        <v>29233346058</v>
      </c>
      <c r="D110" s="4" t="s">
        <v>78</v>
      </c>
      <c r="E110" s="4">
        <v>6</v>
      </c>
      <c r="F110" s="4">
        <v>4</v>
      </c>
      <c r="G110" s="4">
        <v>565800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4">
        <v>4</v>
      </c>
      <c r="B111" s="2" t="s">
        <v>75</v>
      </c>
      <c r="C111" s="9">
        <v>15484234913</v>
      </c>
      <c r="D111" s="4" t="s">
        <v>79</v>
      </c>
      <c r="E111" s="4">
        <v>5</v>
      </c>
      <c r="F111" s="4">
        <v>5</v>
      </c>
      <c r="G111" s="4">
        <v>911500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4">
        <v>5</v>
      </c>
      <c r="B112" s="2" t="s">
        <v>80</v>
      </c>
      <c r="C112" s="9">
        <v>49813936807</v>
      </c>
      <c r="D112" s="4"/>
      <c r="E112" s="4">
        <v>5</v>
      </c>
      <c r="F112" s="4">
        <v>5</v>
      </c>
      <c r="G112" s="4">
        <v>261500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4">
        <v>6</v>
      </c>
      <c r="B113" s="2" t="s">
        <v>81</v>
      </c>
      <c r="C113" s="9">
        <v>20540949887</v>
      </c>
      <c r="D113" s="4" t="s">
        <v>82</v>
      </c>
      <c r="E113" s="4">
        <v>4</v>
      </c>
      <c r="F113" s="4">
        <v>4</v>
      </c>
      <c r="G113" s="4">
        <v>209200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4">
        <v>7</v>
      </c>
      <c r="B114" s="2" t="s">
        <v>83</v>
      </c>
      <c r="C114" s="9">
        <v>44552142483</v>
      </c>
      <c r="D114" s="4"/>
      <c r="E114" s="4">
        <v>3</v>
      </c>
      <c r="F114" s="4">
        <v>3</v>
      </c>
      <c r="G114" s="4">
        <v>282900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4">
        <v>8</v>
      </c>
      <c r="B115" s="2" t="s">
        <v>84</v>
      </c>
      <c r="C115" s="9">
        <v>52563959751</v>
      </c>
      <c r="D115" s="4"/>
      <c r="E115" s="4">
        <v>2</v>
      </c>
      <c r="F115" s="4">
        <v>2</v>
      </c>
      <c r="G115" s="4">
        <v>348600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4">
        <v>9</v>
      </c>
      <c r="B116" s="2" t="s">
        <v>85</v>
      </c>
      <c r="C116" s="9">
        <v>57313958189</v>
      </c>
      <c r="D116" s="4" t="s">
        <v>86</v>
      </c>
      <c r="E116" s="4">
        <v>1</v>
      </c>
      <c r="F116" s="4">
        <v>1</v>
      </c>
      <c r="G116" s="4">
        <v>113300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4">
        <v>10</v>
      </c>
      <c r="B117" s="2" t="s">
        <v>87</v>
      </c>
      <c r="C117" s="9">
        <v>25893057187</v>
      </c>
      <c r="D117" s="4" t="s">
        <v>88</v>
      </c>
      <c r="E117" s="4">
        <v>1</v>
      </c>
      <c r="F117" s="4">
        <v>1</v>
      </c>
      <c r="G117" s="4">
        <v>84000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4"/>
      <c r="B118" s="2" t="s">
        <v>64</v>
      </c>
      <c r="C118" s="9"/>
      <c r="D118" s="4"/>
      <c r="E118" s="4"/>
      <c r="F118" s="4"/>
      <c r="G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4">
        <v>1</v>
      </c>
      <c r="B119" s="2" t="s">
        <v>89</v>
      </c>
      <c r="C119" s="9">
        <v>15584241449</v>
      </c>
      <c r="D119" s="4"/>
      <c r="E119" s="4">
        <v>15</v>
      </c>
      <c r="F119" s="4">
        <v>14</v>
      </c>
      <c r="G119" s="4">
        <v>1350000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4">
        <v>2</v>
      </c>
      <c r="B120" s="2" t="s">
        <v>75</v>
      </c>
      <c r="C120" s="9">
        <v>15484234913</v>
      </c>
      <c r="D120" s="4"/>
      <c r="E120" s="4">
        <v>12</v>
      </c>
      <c r="F120" s="4">
        <v>11</v>
      </c>
      <c r="G120" s="4">
        <v>1128000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4">
        <v>3</v>
      </c>
      <c r="B121" s="2" t="s">
        <v>90</v>
      </c>
      <c r="C121" s="9">
        <v>24956187823</v>
      </c>
      <c r="D121" s="4"/>
      <c r="E121" s="4">
        <v>10</v>
      </c>
      <c r="F121" s="4">
        <v>7</v>
      </c>
      <c r="G121" s="4">
        <v>940000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4">
        <v>4</v>
      </c>
      <c r="B122" s="2" t="s">
        <v>91</v>
      </c>
      <c r="C122" s="9">
        <v>15084234863</v>
      </c>
      <c r="D122" s="4"/>
      <c r="E122" s="4">
        <v>8</v>
      </c>
      <c r="F122" s="4">
        <v>4</v>
      </c>
      <c r="G122" s="4">
        <v>232000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4">
        <v>5</v>
      </c>
      <c r="B123" s="2" t="s">
        <v>92</v>
      </c>
      <c r="C123" s="9">
        <v>16167874509</v>
      </c>
      <c r="D123" s="4"/>
      <c r="E123" s="4">
        <v>7</v>
      </c>
      <c r="F123" s="4">
        <v>7</v>
      </c>
      <c r="G123" s="4">
        <v>2219000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4">
        <v>6</v>
      </c>
      <c r="B124" s="2" t="s">
        <v>93</v>
      </c>
      <c r="C124" s="9">
        <v>24616846046</v>
      </c>
      <c r="D124" s="4"/>
      <c r="E124" s="4">
        <v>6</v>
      </c>
      <c r="F124" s="4">
        <v>5</v>
      </c>
      <c r="G124" s="4">
        <v>222000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4">
        <v>7</v>
      </c>
      <c r="B125" s="2" t="s">
        <v>94</v>
      </c>
      <c r="C125" s="9">
        <v>12892358205</v>
      </c>
      <c r="D125" s="4"/>
      <c r="E125" s="4">
        <v>5</v>
      </c>
      <c r="F125" s="4">
        <v>5</v>
      </c>
      <c r="G125" s="4">
        <v>450000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4">
        <v>8</v>
      </c>
      <c r="B126" s="2" t="s">
        <v>95</v>
      </c>
      <c r="C126" s="9">
        <v>16067874699</v>
      </c>
      <c r="D126" s="4"/>
      <c r="E126" s="4">
        <v>5</v>
      </c>
      <c r="F126" s="4">
        <v>3</v>
      </c>
      <c r="G126" s="4">
        <v>135000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4">
        <v>9</v>
      </c>
      <c r="B127" s="2" t="s">
        <v>95</v>
      </c>
      <c r="C127" s="9">
        <v>16067874699</v>
      </c>
      <c r="D127" s="4"/>
      <c r="E127" s="4">
        <v>4</v>
      </c>
      <c r="F127" s="4">
        <v>3</v>
      </c>
      <c r="G127" s="4">
        <v>108000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4">
        <v>10</v>
      </c>
      <c r="B128" s="2" t="s">
        <v>91</v>
      </c>
      <c r="C128" s="9">
        <v>15084234863</v>
      </c>
      <c r="D128" s="4"/>
      <c r="E128" s="4">
        <v>4</v>
      </c>
      <c r="F128" s="4">
        <v>4</v>
      </c>
      <c r="G128" s="4">
        <v>116000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15">
      <c r="A129" s="12" t="s">
        <v>96</v>
      </c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 t="s">
        <v>97</v>
      </c>
      <c r="C130" s="2" t="s">
        <v>98</v>
      </c>
      <c r="D130" s="2" t="s">
        <v>70</v>
      </c>
      <c r="E130" s="2" t="s">
        <v>99</v>
      </c>
      <c r="F130" s="2" t="s">
        <v>100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4">
        <v>1</v>
      </c>
      <c r="B131" s="9">
        <v>29233346058</v>
      </c>
      <c r="C131" s="4" t="s">
        <v>101</v>
      </c>
      <c r="D131" s="9">
        <v>42801105610</v>
      </c>
      <c r="E131" s="4" t="s">
        <v>102</v>
      </c>
      <c r="F131" s="4">
        <v>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4">
        <v>2</v>
      </c>
      <c r="B132" s="9">
        <v>24956187823</v>
      </c>
      <c r="C132" s="4" t="s">
        <v>103</v>
      </c>
      <c r="D132" s="9">
        <v>42801105610</v>
      </c>
      <c r="E132" s="4" t="s">
        <v>102</v>
      </c>
      <c r="F132" s="4">
        <v>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4">
        <v>3</v>
      </c>
      <c r="B133" s="9">
        <v>26580532173</v>
      </c>
      <c r="C133" s="4" t="s">
        <v>104</v>
      </c>
      <c r="D133" s="9">
        <v>42801105610</v>
      </c>
      <c r="E133" s="4" t="s">
        <v>105</v>
      </c>
      <c r="F133" s="4">
        <v>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4">
        <v>4</v>
      </c>
      <c r="B134" s="9">
        <v>15284234921</v>
      </c>
      <c r="C134" s="4" t="s">
        <v>106</v>
      </c>
      <c r="D134" s="9">
        <v>24616846046</v>
      </c>
      <c r="E134" s="4" t="s">
        <v>93</v>
      </c>
      <c r="F134" s="4">
        <v>2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4">
        <v>5</v>
      </c>
      <c r="B135" s="9">
        <v>24956187823</v>
      </c>
      <c r="C135" s="4" t="s">
        <v>107</v>
      </c>
      <c r="D135" s="9">
        <v>42801105610</v>
      </c>
      <c r="E135" s="4" t="s">
        <v>105</v>
      </c>
      <c r="F135" s="4">
        <v>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11">
    <mergeCell ref="A83:C83"/>
    <mergeCell ref="A97:C97"/>
    <mergeCell ref="A106:G106"/>
    <mergeCell ref="A129:G129"/>
    <mergeCell ref="A1:G1"/>
    <mergeCell ref="A2:F2"/>
    <mergeCell ref="A5:C5"/>
    <mergeCell ref="A25:C25"/>
    <mergeCell ref="A29:C29"/>
    <mergeCell ref="A30:C30"/>
    <mergeCell ref="A74:C7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34" customWidth="1"/>
    <col min="2" max="2" width="109.83203125" customWidth="1"/>
  </cols>
  <sheetData>
    <row r="1" spans="1:26" ht="16.5" customHeight="1" x14ac:dyDescent="0.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15">
      <c r="A2" s="1" t="s">
        <v>3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1" t="s">
        <v>5</v>
      </c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15">
      <c r="A5" s="1"/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15">
      <c r="A9" s="1" t="s">
        <v>15</v>
      </c>
      <c r="B9" s="1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 t="s">
        <v>17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 t="s">
        <v>19</v>
      </c>
      <c r="B11" s="1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 t="s">
        <v>24</v>
      </c>
      <c r="B12" s="1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Customer journey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Anh</cp:lastModifiedBy>
  <dcterms:modified xsi:type="dcterms:W3CDTF">2026-08-11T15:19:35Z</dcterms:modified>
</cp:coreProperties>
</file>