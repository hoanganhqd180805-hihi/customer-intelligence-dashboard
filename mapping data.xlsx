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tranthihoanganh/Downloads/Customer Intelligence/"/>
    </mc:Choice>
  </mc:AlternateContent>
  <xr:revisionPtr revIDLastSave="0" documentId="13_ncr:1_{F4AAB8B3-7924-8341-A246-195DEFF3AACE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Dashboard" sheetId="1" r:id="rId1"/>
    <sheet name="Customer journey" sheetId="2" r:id="rId2"/>
    <sheet name="SQ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1" i="2" l="1"/>
  <c r="C100" i="2"/>
  <c r="C99" i="2"/>
  <c r="C96" i="2"/>
</calcChain>
</file>

<file path=xl/sharedStrings.xml><?xml version="1.0" encoding="utf-8"?>
<sst xmlns="http://schemas.openxmlformats.org/spreadsheetml/2006/main" count="484" uniqueCount="207">
  <si>
    <t>Overview</t>
  </si>
  <si>
    <t>WITH ranked_orders AS (
    SELECT
        od.order_sn,
        od.buyer_user_id,          -- Thay bằng cột định danh khách hàng thực tế
        od.create_time,
        od.update_time,
        COALESCE(od.total_amount, 0)::numeric AS total_amount,
        NULLIF(TRIM(od.cancel_reason), '') AS cancel_reason,
        ROW_NUMBER() OVER (
        PARTITION BY od.order_sn
        ORDER BY od.update_time DESC NULLS LAST
        ) AS rn
    FROM order_detail od
    WHERE od.user_email = 'mayoravietnam_customer@gmail.com'
      /* Bộ lọc thời gian */
      AND od.create_time &gt;= TIMESTAMP '2026-05-01 00:00:00' AND od.create_time &lt; TIMESTAMP '2026-05-18 00:00:00'
),
orders AS (
    /* Chỉ giữ 1 bản ghi cuối cùng của mỗi đơn */
    SELECT
        order_sn, buyer_user_id, total_amount, cancel_reason
    FROM ranked_orders
    WHERE rn = 1
),
valid_orders AS (
    /* Đơn thành công */
    SELECT *
    FROM orders
    WHERE cancel_reason IS NULL
),
customer_summary AS (
    SELECT
        buyer_user_id,
        COUNT(*) AS total_orders
    FROM valid_orders
    GROUP BY buyer_user_id
),
overall_metrics AS (
    SELECT
        COUNT(DISTINCT buyer_user_id)
            AS total_customers,
        COUNT(*)
            AS total_orders,
        SUM(total_amount)
            AS total_revenue,
        ROUND(
            SUM(total_amount)
            /
            NULLIF(COUNT(*),0)
        ,2) AS aov
    FROM valid_orders
),
repeat_metrics AS (
    SELECT
        COUNT(*) FILTER(
            WHERE total_orders&gt;=2
        ) AS repeat_customers,
        COUNT(*) AS purchasing_customers
    FROM customer_summary
),
cancel_metrics AS (
    SELECT
        COUNT(*) FILTER(
            WHERE cancel_reason IS NOT NULL
        ) AS cancelled_orders,
        COUNT(*) AS total_created_orders
    FROM orders
)
SELECT
    om.total_customers,
    om.total_orders,
    om.total_revenue,
    om.aov,
    ROUND(
        rm.repeat_customers*100.0
        /
        NULLIF(rm.purchasing_customers,0)
    ,2)
    AS repeat_customer_rate_percent,
    ROUND(
        cm.cancelled_orders*100.0
        /
        NULLIF(cm.total_created_orders,0)
    ,2)
    AS cancellation_rate_percent
FROM overall_metrics om
CROSS JOIN repeat_metrics rm
CROSS JOIN cancel_metrics cm;</t>
  </si>
  <si>
    <t>01/05/2026 - 18/05/2026</t>
  </si>
  <si>
    <t>Thống kê theo từng loại khách hàng</t>
  </si>
  <si>
    <t>WITH latest_orders AS (
    SELECT *
    FROM (
        SELECT
            od.order_sn,
            od.buyer_user_id,
            od.create_time,
            od.update_time,
            od.order_status,
            od.cancel_reason,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od.create_time &lt; TIMESTAMP '2026-05-18 00:00:00.000'
    ) x
    WHERE rn = 1
      /* Chỉ lấy đơn hợp lệ */
      AND NULLIF(TRIM(cancel_reason), '') IS NULL
      AND UPPER(TRIM(COALESCE(order_status, ''))) NOT IN (
          'CANCELLED',
          'IN_CANCEL',
          'CANCEL',
          'TO_CANCEL'
      )
),
/* Ngày mua đầu tiên trong toàn bộ lịch sử */
customer_first_order AS (
    SELECT
        buyer_user_id,
        MIN(create_time::date) AS first_order_date
    FROM latest_orders
    GROUP BY buyer_user_id
),
/* Khách phát sinh mua hàng trong từng ngày */
daily_customer AS (
    SELECT DISTINCT
        lo.create_time::date AS order_date,
        lo.buyer_user_id,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),
/* Tạo đủ ngày, kể cả ngày không có khách */
dates AS (
    SELECT
        generate_series(
            DATE '2026-05-01',
            DATE '2026-05-17',
            INTERVAL '1 day'
        )::date AS order_date
)
SELECT
    d.order_date,
    COUNT(dc.buyer_user_id) FILTER (
        WHERE dc.customer_type = 'Khách mới'
    ) AS new_customers,
    COUNT(dc.buyer_user_id) FILTER (
        WHERE dc.customer_type = 'Khách cũ'
    ) AS existing_customers,
    COUNT(dc.buyer_user_id) AS total_customers
FROM dates d
LEFT JOIN daily_customer dc
    ON dc.order_date = d.order_date
GROUP BY d.order_date
ORDER BY d.order_date;
------------------------
#Doanh thu
WITH latest_orders AS (
    SELECT *
    FROM (
        SELECT
            od.order_sn,
            od.buyer_user_id,
            od.create_time,
            od.update_time,
            od.order_status,
            od.cancel_reason,
            COALESCE(od.total_amount, 0)::numeric AS total_amount,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od.buyer_user_id IS NOT NULL
          AND od.create_time IS NOT NULL
          /* Giữ lịch sử để xác định khách mới / cũ */
          AND od.create_time &gt;= TIMESTAMP '2026-05-01 00:00:00.000'
          AND od.update_time &lt; TIMESTAMP '2026-05-18 00:00:00.000'
    ) x
    WHERE rn = 1
      AND NULLIF(TRIM(cancel_reason), '') IS NULL
      AND UPPER(TRIM(COALESCE(order_status, ''))) NOT IN (
          'CANCELLED',
          'IN_CANCEL',
          'CANCEL',
          'TO_CANCEL'
      )
),
customer_first_order AS (
    SELECT
        buyer_user_id,
        MIN(create_time::date) AS first_order_date
    FROM latest_orders
    GROUP BY buyer_user_id
),
orders_in_period AS (
    SELECT
        lo.order_sn,
        lo.buyer_user_id,
        lo.create_time::date AS order_date,
        lo.total_amount,
        CASE
            WHEN cfo.first_order_date = lo.create_time::date
                THEN 'Khách mới'
            ELSE 'Khách cũ'
        END AS customer_type
    FROM latest_orders lo
    JOIN customer_first_order cfo
        ON cfo.buyer_user_id = lo.buyer_user_id
    WHERE lo.create_time &gt;= TIMESTAMP '2026-05-01 00:00:00.000'
      AND lo.create_time &lt;  TIMESTAMP '2026-05-18 00:00:00.000'
)
SELECT
    customer_type,
    SUM(total_amount) AS total_revenue,
    ROUND(
        SUM(total_amount) * 100.0
        / NULLIF(SUM(SUM(total_amount)) OVER (), 0),
        2
    ) AS revenue_contribution_percent
FROM orders_in_period
GROUP BY customer_type
ORDER BY
    CASE customer_type
        WHEN 'Khách mới' THEN 1
        WHEN 'Khách cũ' THEN 2
    END;</t>
  </si>
  <si>
    <t>Thời điểm mua hàng</t>
  </si>
  <si>
    <t xml:space="preserve">Theo khung giờ		</t>
  </si>
  <si>
    <t>WITH ranked_orders AS (
    SELECT
        od.order_sn,
        od.create_time,
        od.update_time,
        od.order_status,
        od.cancel_reason,
        ROW_NUMBER() OVER (
            PARTITION BY od.order_sn
            ORDER BY od.update_time DESC NULLS LAST
        ) AS rn
    FROM order_detail AS od
    WHERE od.user_email = 'mayoravietnam_customer@gmail.com'
      AND od.order_sn IS NOT NULL
      AND od.create_time IS NOT NULL
      AND od.create_time &gt;= TIMESTAMP '2026-05-01 00:00:00.000'
      AND od.update_time &lt;  TIMESTAMP '2026-05-18 00:00:00.000'
),
valid_orders AS (
    SELECT
        order_sn,
        create_time
    FROM ranked_orders
    WHERE rn = 1
      -- Loại đơn huỷ
      AND NULLIF(TRIM(cancel_reason), '') IS NULL
      AND UPPER(TRIM(COALESCE(order_status, ''))) NOT IN (
          'CANCELLED',
          'IN_CANCEL',
          'CANCEL',
          'TO_CANCEL'
      )
),
/* ================================
   Tạo đủ 7 ngày trong tuần
   ================================ */
weekdays AS (
    SELECT *
    FROM (
        VALUES
            (1, 'Thứ Hai'),
            (2, 'Thứ Ba'),
            (3, 'Thứ Tư'),
            (4, 'Thứ Năm'),
            (5, 'Thứ Sáu'),
            (6, 'Thứ Bảy'),
            (7, 'Chủ Nhật')
    ) AS w(weekday_number, weekday_name)
),
/* ================================
   Tạo đủ 6 khung giờ
   ================================ */
time_slots AS (
    SELECT *
    FROM (
        VALUES
            (1, '00:00 - 05:59'),
            (2, '06:00 - 08:59'),
            (3, '09:00 - 11:59'),
            (4, '12:00 - 14:59'),
            (5, '15:00 - 17:59'),
            (6, '18:00 - 23:59')
    ) AS t(time_slot_number, purchase_time_slot)
),
/* ================================
   Phân loại từng đơn
   theo ngày + khung giờ
   ================================ */
order_time_classification AS (
    SELECT
        order_sn,
        EXTRACT(ISODOW FROM create_time)::int
            AS weekday_number,
        CASE
            WHEN EXTRACT(HOUR FROM create_time) BETWEEN 0 AND 5
                THEN 1
            WHEN EXTRACT(HOUR FROM create_time) BETWEEN 6 AND 8
                THEN 2
            WHEN EXTRACT(HOUR FROM create_time) BETWEEN 9 AND 11
                THEN 3
            WHEN EXTRACT(HOUR FROM create_time) BETWEEN 12 AND 14
                THEN 4
            WHEN EXTRACT(HOUR FROM create_time) BETWEEN 15 AND 17
                THEN 5
            WHEN EXTRACT(HOUR FROM create_time) BETWEEN 18 AND 23
                THEN 6
        END AS time_slot_number
    FROM valid_orders
),
/* ================================
   Đếm số đơn thực tế
   ================================ */
order_summary AS (
    SELECT
        weekday_number,
        time_slot_number,
        COUNT(DISTINCT order_sn) AS total_orders
    FROM order_time_classification
    GROUP BY
        weekday_number,
        time_slot_number
),
/* ================================
   Tạo ma trận 7 ngày × 6 khung giờ
   ================================ */
heatmap_grid AS (
    SELECT
        w.weekday_number,
        w.weekday_name,
        t.time_slot_number,
        t.purchase_time_slot
    FROM weekdays AS w
    CROSS JOIN time_slots AS t
)
SELECT
    hg.weekday_name,
    hg.purchase_time_slot,
    COALESCE(os.total_orders, 0) AS total_orders
FROM heatmap_grid AS hg
LEFT JOIN order_summary AS os
    ON os.weekday_number = hg.weekday_number
   AND os.time_slot_number = hg.time_slot_number
ORDER BY
    hg.weekday_number,
    hg.time_slot_number;</t>
  </si>
  <si>
    <t>Theo thứ</t>
  </si>
  <si>
    <t>Total Customer</t>
  </si>
  <si>
    <t>Total Order</t>
  </si>
  <si>
    <t>Revenue</t>
  </si>
  <si>
    <t>AOV</t>
  </si>
  <si>
    <t>Customer Return Rate</t>
  </si>
  <si>
    <t>Cancel Rate</t>
  </si>
  <si>
    <t>Lý do huỷ đơn</t>
  </si>
  <si>
    <t>WITH orders AS (
    SELECT DISTINCT ON (od.order_sn)
        od.order_sn,
        od.cancel_reason,
        COALESCE(od.total_amount, 0)::numeric AS total_amount
    FROM order_detail od
    WHERE od.user_email = 'mayoravietnam_customer@gmail.com'
      AND od.order_sn IS NOT NULL
      AND od.create_time &gt;= TIMESTAMP '2026-07-27 00:00:00.000'
      AND od.create_time &lt;  TIMESTAMP '2026-08-03 00:00:00.000'
      AND od.update_time &lt;  TIMESTAMP '2026-08-03 00:00:00.000'
    ORDER BY
        od.order_sn,
        od.update_time DESC NULLS LAST
),
cancel_summary AS (
    SELECT
        TRIM(cancel_reason) AS cancel_reason,
        COUNT(*) AS cancelled_orders,
        SUM(total_amount) AS lost_revenue
    FROM orders
    WHERE NULLIF(TRIM(cancel_reason), '') IS NOT NULL
    GROUP BY TRIM(cancel_reason)
)
SELECT
    cancel_reason,
    cancelled_orders,
    ROUND(
        cancelled_orders * 100.0
        / NULLIF(SUM(cancelled_orders) OVER (), 0),
        2
    ) AS cancel_reason_rate_percent,
    lost_revenue,
    ROUND(
        lost_revenue * 100.0
        / NULLIF(SUM(lost_revenue) OVER (), 0),
        2
    ) AS lost_revenue_rate_percent
FROM cancel_summary
ORDER BY cancelled_orders DESC;</t>
  </si>
  <si>
    <t>Xu hướng mua sắm</t>
  </si>
  <si>
    <t xml:space="preserve">Theo số lượng </t>
  </si>
  <si>
    <t>Danh mục bán lẻ/combo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</si>
  <si>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quantity,
        CASE
            WHEN LOWER(COALESCE(split_part(item-&gt;&gt;2, ': ', 2), '')) LIKE '%combo%'
              OR LOWER(COALESCE(split_part(item-&gt;&gt;4, ': ', 2), '')) LIKE '%combo%'
              OR LOWER(COALESCE(split_part(item-&gt;&gt;2, ': ', 2), '')) LIKE '%set%'
              OR LOWER(COALESCE(split_part(item-&gt;&gt;4, ': ', 2), '')) LIKE '%set%'
              OR LOWER(COALESCE(split_part(item-&gt;&gt;2, ': ', 2), '')) LIKE '%bộ%'
              OR LOWER(COALESCE(split_part(item-&gt;&gt;4, ': ', 2), '')) LIKE '%bộ%'
            THEN 'Combo'
            ELSE 'Bán lẻ'
        END AS product_type
    FROM latest_orders lo
    CROSS JOIN LATERAL jsonb_array_elements(lo.item_list::jsonb) AS item
),
product_summary AS (
    SELECT
        product_type,
        item_id,
        item_name,
        SUM(quantity) AS total_quantity_sold,
        COUNT(DISTINCT order_sn) AS total_orders,
        SUM(unit_price * quantity) AS product_sales
    FROM items
    /* Loại quà tặng không có doanh thu */
    WHERE unit_price &gt; 0
      AND quantity &gt; 0
    GROUP BY
        product_type,
        item_id,
        item_name
),
ranked_products AS (
    SELECT
        *,
        ROW_NUMBER() OVER (
            PARTITION BY product_type
            ORDER BY total_quantity_sold DESC
        ) AS product_rank
    FROM product_summary
)
SELECT
    product_type,
    product_rank,
    item_id,
    item_name,
    total_quantity_sold,
    total_orders,
    product_sales
FROM ranked_products
WHERE product_rank &lt;= 10
ORDER BY
    CASE product_type
        WHEN 'Combo' THEN 1
        WHEN 'Bán lẻ' THEN 2
    END,
    product_rank;</t>
  </si>
  <si>
    <t>Ngày</t>
  </si>
  <si>
    <t>Khách mới</t>
  </si>
  <si>
    <t>Khách cũ</t>
  </si>
  <si>
    <t>Đề xuất</t>
  </si>
  <si>
    <t>WITH latest_orders AS (
    SELECT *
    FROM (
        SELECT
            od.*,
            ROW_NUMBER() OVER (
                PARTITION BY od.order_sn
                ORDER BY od.update_time DESC NULLS LAST
            ) AS rn
        FROM order_detail od
        WHERE od.user_email = 'mayoravietnam_customer@gmail.com'
          AND od.order_sn IS NOT NULL
          AND od.item_list IS NOT NULL
          AND od.create_time &gt;= TIMESTAMP '2026-05-01 00:00:00.000'
          AND od.create_time &lt;  TIMESTAMP '2026-05-18 00:00:00.000'
    ) x
    WHERE rn = 1
      AND NULLIF(TRIM(cancel_reason), '') IS NULL
),
items AS (
    SELECT
        lo.order_sn,
        split_part(item-&gt;&gt;0, ': ', 2) AS item_id,
        split_part(item-&gt;&gt;2, ': ', 2) AS item_name,
        split_part(item-&gt;&gt;4, ': ', 2) AS model_name,
        COALESCE(
            NULLIF(split_part(item-&gt;&gt;5, ': ', 2), '')::numeric,
            0
        ) AS unit_price,
        COALESCE(
            NULLIF(split_part(item-&gt;&gt;7, ': ', 2), '')::int,
            0
        ) AS quantity
    FROM latest_orders lo
    CROSS JOIN LATERAL
        jsonb_array_elements(lo.item_list::jsonb) AS item
),
retail_items AS (
    SELECT DISTINCT
        order_sn,
        item_id,
        item_name
    FROM items
    WHERE unit_price &gt; 0
      AND quantity &gt; 0
      /* Chỉ lấy sản phẩm bán lẻ */
      AND LOWER(COALESCE(item_name, '')) NOT LIKE '%combo%'
      AND LOWER(COALESCE(model_name, '')) NOT LIKE '%combo%'
      AND LOWER(COALESCE(item_name, '')) NOT LIKE '%set%'
      AND LOWER(COALESCE(model_name, '')) NOT LIKE '%set%'
      AND LOWER(COALESCE(item_name, '')) NOT LIKE '%bộ%'
      AND LOWER(COALESCE(model_name, '')) NOT LIKE '%bộ%'
),
product_pairs AS (
    SELECT
        a.order_sn,
        a.item_id   AS item_id_1,
        a.item_name AS item_name_1,
        b.item_id   AS item_id_2,
        b.item_name AS item_name_2
    FROM retail_items a
    JOIN retail_items b
        ON a.order_sn = b.order_sn
        /* Không ghép sản phẩm với chính nó */
        AND a.item_id &lt; b.item_id
),
pair_summary AS (
    SELECT
        item_id_1,
        item_name_1,
        item_id_2,
        item_name_2,
        COUNT(DISTINCT order_sn) AS orders_bought_together
    FROM product_pairs
    GROUP BY
        item_id_1,
        item_name_1,
        item_id_2,
        item_name_2
)
SELECT
    ROW_NUMBER() OVER (
        ORDER BY orders_bought_together DESC
    ) AS pair_rank,
    item_id_1,
    item_name_1,
    item_id_2,
    item_name_2,
    orders_bought_together
FROM pair_summary
ORDER BY
    orders_bought_together DESC
LIMIT 5;</t>
  </si>
  <si>
    <t>Theo đóng góp doanh thu</t>
  </si>
  <si>
    <t>% đóng góp</t>
  </si>
  <si>
    <t>Theo thời điểm mua hàng</t>
  </si>
  <si>
    <t>Theo khung giờ</t>
  </si>
  <si>
    <t>Thứ</t>
  </si>
  <si>
    <t>Khung giờ</t>
  </si>
  <si>
    <t>Tổng số đơn hàng</t>
  </si>
  <si>
    <t>Thứ Hai</t>
  </si>
  <si>
    <t>00:00 - 05:59</t>
  </si>
  <si>
    <t>06:00 - 08:59</t>
  </si>
  <si>
    <t>09:00 - 11:59</t>
  </si>
  <si>
    <t>12:00 - 14:59</t>
  </si>
  <si>
    <t>15:00 - 17:59</t>
  </si>
  <si>
    <t>18:00 - 23:59</t>
  </si>
  <si>
    <t>Thứ Ba</t>
  </si>
  <si>
    <t>Thứ Tư</t>
  </si>
  <si>
    <t>Thứ Năm</t>
  </si>
  <si>
    <t>Thứ Sáu</t>
  </si>
  <si>
    <t>Thứ Bảy</t>
  </si>
  <si>
    <t>Chủ Nhật</t>
  </si>
  <si>
    <t xml:space="preserve">Thứ </t>
  </si>
  <si>
    <t>Tổng số đơn</t>
  </si>
  <si>
    <t>Thống kê lý do huỷ đơn</t>
  </si>
  <si>
    <t>Lý do</t>
  </si>
  <si>
    <t>Số lượng</t>
  </si>
  <si>
    <t>Doanh thu</t>
  </si>
  <si>
    <t>modify existing order (colour, size, address, voucher, etc.)</t>
  </si>
  <si>
    <t>other</t>
  </si>
  <si>
    <t>need to input / change voucher code</t>
  </si>
  <si>
    <t>need to change delivery address</t>
  </si>
  <si>
    <t>need to modify order</t>
  </si>
  <si>
    <t>unpaid order</t>
  </si>
  <si>
    <t>found cheaper elsewhere</t>
  </si>
  <si>
    <t>don't want to buy anymore</t>
  </si>
  <si>
    <t>failed delivery</t>
  </si>
  <si>
    <t>payment procedure too troublesome</t>
  </si>
  <si>
    <t>out of stock</t>
  </si>
  <si>
    <t>%</t>
  </si>
  <si>
    <t>Combo</t>
  </si>
  <si>
    <t>Bán lẻ</t>
  </si>
  <si>
    <t>Hỗn hợp</t>
  </si>
  <si>
    <t>38.37</t>
  </si>
  <si>
    <t>44.89</t>
  </si>
  <si>
    <t>16.73</t>
  </si>
  <si>
    <t>Danh mục sản phẩm</t>
  </si>
  <si>
    <t>item id</t>
  </si>
  <si>
    <t>Số lượng sản phẩm</t>
  </si>
  <si>
    <t>Số đơn</t>
  </si>
  <si>
    <t>Combo 2 Hủ Kẹo Cà Phê Sữa Mayora Kopiko 560G</t>
  </si>
  <si>
    <t>Combo 2</t>
  </si>
  <si>
    <t>Cà Phê Sữa Hòa Tan Mayora Kopiko Macchiato 400G</t>
  </si>
  <si>
    <t>COMBO 5 GÓI</t>
  </si>
  <si>
    <t>Bánh Quy Mayora Danisa Chocofello 150G</t>
  </si>
  <si>
    <t>combo 2 hộp</t>
  </si>
  <si>
    <t>COMBO 2 GÓI</t>
  </si>
  <si>
    <t>Combo Best Seller</t>
  </si>
  <si>
    <t>Combo 2 Kẹo Cà Phê Sữa Mayora Kopiko 135G</t>
  </si>
  <si>
    <t>2 gói cà phê sữa</t>
  </si>
  <si>
    <t>Combo 2 Loại Bánh Quy Mayora</t>
  </si>
  <si>
    <t>Combo Coffee Premium</t>
  </si>
  <si>
    <t>Combo Lucky Day</t>
  </si>
  <si>
    <t>lốc LuckyDay+Kẹo Sữa</t>
  </si>
  <si>
    <t>Combo 2 Bánh Quy Sữa Mới Mayora D-Maxx Marie – Túi  528G (24 Gói X 22G)</t>
  </si>
  <si>
    <t>1 gói 528G</t>
  </si>
  <si>
    <t>Kẹo Mayora Cà Phê Kopiko 560G</t>
  </si>
  <si>
    <t>Bánh Quy Bơ Mayora Danisa 200G</t>
  </si>
  <si>
    <t>Kẹo Cà Phê Sữa Mayora Kopiko 140G</t>
  </si>
  <si>
    <t>Bánh Quy Bơ Mayora Danisa 681G</t>
  </si>
  <si>
    <t>Bánh Xốp Mayora Wafello Chocolate 210G</t>
  </si>
  <si>
    <t>Kẹo Cà Phê Sữa Mayora Kopiko 560G</t>
  </si>
  <si>
    <t>Kẹo Mayora The Fres Barley 150G</t>
  </si>
  <si>
    <t>Combo đề xuất</t>
  </si>
  <si>
    <t>Item id</t>
  </si>
  <si>
    <t>Item 1</t>
  </si>
  <si>
    <t>Item 2</t>
  </si>
  <si>
    <t>Số lượng đơn</t>
  </si>
  <si>
    <t>Bánh quy Danisa Chocofello 150g</t>
  </si>
  <si>
    <t>Bánh Quy Bơ &amp; Cacao Danisa Abbracci Hộp 168g</t>
  </si>
  <si>
    <t>BÁNH QUY BƠ DANISA 200G</t>
  </si>
  <si>
    <t>BÁNH QUY SỮA MỚI MAYORA D-MAXX MARIE - HỘP GIẤY 308G (14 GÓI X 22G)</t>
  </si>
  <si>
    <t>BÁNH QUY BƠ &amp; CACAO MAYORA DANISA ABBRACCI HỘP 168G</t>
  </si>
  <si>
    <t>Bánh Xốp Mayora Superstar Triple Choco Hộp 150G</t>
  </si>
  <si>
    <t>BÁNH QUY BƠ MAYORA DANISA 200G</t>
  </si>
  <si>
    <t xml:space="preserve"> % đóng góp doanh thu</t>
  </si>
  <si>
    <t>% đóng góp theo số lưọng đơn</t>
  </si>
  <si>
    <t>Phân khúc khách hàng</t>
  </si>
  <si>
    <t>Ngủ đông</t>
  </si>
  <si>
    <t>Khách thường</t>
  </si>
  <si>
    <t>Tiềm năng</t>
  </si>
  <si>
    <t>Nguy cơ rời bỏ</t>
  </si>
  <si>
    <t>VIP</t>
  </si>
  <si>
    <t>Tổng số khách hàng</t>
  </si>
  <si>
    <t>% số khách hàng</t>
  </si>
  <si>
    <t>Khách đang phát triển</t>
  </si>
  <si>
    <t>Khách trung thành</t>
  </si>
  <si>
    <t>Khách giá trị cao</t>
  </si>
  <si>
    <t>Khách có nguy cơ rời bỏ</t>
  </si>
  <si>
    <t>Thời gian mua lại sản phẩm của shop</t>
  </si>
  <si>
    <t>Số ngày mua lại trung bình</t>
  </si>
  <si>
    <t>Phân khúc</t>
  </si>
  <si>
    <t>Điều kiện</t>
  </si>
  <si>
    <t>Số khách</t>
  </si>
  <si>
    <t>Tỷ lệ khách</t>
  </si>
  <si>
    <t>Đóng góp doanh thu</t>
  </si>
  <si>
    <t>Low Value</t>
  </si>
  <si>
    <t>&lt; 300K</t>
  </si>
  <si>
    <t>68.2M</t>
  </si>
  <si>
    <t>Medium Value</t>
  </si>
  <si>
    <t>300K – &lt;650K</t>
  </si>
  <si>
    <t>112.4M</t>
  </si>
  <si>
    <t>High Value</t>
  </si>
  <si>
    <t>650K – &lt;1.2M</t>
  </si>
  <si>
    <t>127.8M</t>
  </si>
  <si>
    <t>≥ 1.2M</t>
  </si>
  <si>
    <t>172.1M</t>
  </si>
  <si>
    <t>Tổng</t>
  </si>
  <si>
    <t>480.5M</t>
  </si>
  <si>
    <t>order_date</t>
  </si>
  <si>
    <t>new_customers</t>
  </si>
  <si>
    <t>existing_customers</t>
  </si>
  <si>
    <t>total_customers</t>
  </si>
  <si>
    <t>new_customer_orders</t>
  </si>
  <si>
    <t>existing_customer_orders</t>
  </si>
  <si>
    <t>total_orders</t>
  </si>
  <si>
    <t>new_customer_revenue</t>
  </si>
  <si>
    <t>existing_customer_revenue</t>
  </si>
  <si>
    <t>total_revenue</t>
  </si>
  <si>
    <t>Khách mới, khách cũ</t>
  </si>
  <si>
    <t>cancel_reason</t>
  </si>
  <si>
    <t>cancelled_orders</t>
  </si>
  <si>
    <t>cancelled_order_rate_percent</t>
  </si>
  <si>
    <t>lost_revenue</t>
  </si>
  <si>
    <t>lost_revenue_rate_percent</t>
  </si>
  <si>
    <t>customer_segment</t>
  </si>
  <si>
    <t>customer_rate_percent</t>
  </si>
  <si>
    <t>revenue_contribution_percent</t>
  </si>
  <si>
    <t>avg_recency_days</t>
  </si>
  <si>
    <t>avg_frequency</t>
  </si>
  <si>
    <t>avg_monetary</t>
  </si>
  <si>
    <t>Potential</t>
  </si>
  <si>
    <t>Customer segmentation</t>
  </si>
  <si>
    <t>snapshot_date</t>
  </si>
  <si>
    <t>new_customer_top_3_products</t>
  </si>
  <si>
    <t>existing_customer_top_3_products</t>
  </si>
  <si>
    <t>[{"rank": 1, "orders": 1, "item_id": "24956187823", "item_name": "Bánh Quy Bơ Mayora Danisa 200G", "model_name": "", "quantity_sold": 4}, {"rank": 2, "orders": 3, "item_id": "29233346058", "item_name": "Bánh Quy Mayora Danisa Chocofello 150G", "model_name": "1 hộp lẻ", "quantity_sold": 3}, {"rank": 3, "orders": 3, "item_id": "20140942183", "item_name": "Combo 2 Hủ Kẹo Cà Phê Sữa Mayora Kopiko 560G", "model_name": "Combo 2", "quantity_sold": 3}]</t>
  </si>
  <si>
    <t>[{"rank": 1, "orders": 1, "item_id": "29233346058", "item_name": "Bánh Quy Mayora Danisa Chocofello 150G", "model_name": "combo 2 hộp", "quantity_sold": 2}, {"rank": 2, "orders": 1, "item_id": "20140942183", "item_name": "Combo 2 Hủ Kẹo Cà Phê Sữa Mayora Kopiko 560G", "model_name": "Combo 2", "quantity_sold": 1}, {"rank": 3, "orders": 1, "item_id": "15584241449", "item_name": "Kẹo Mayora Cà Phê Kopiko 560G", "model_name": "1 hộp", "quantity_sold": 1}]</t>
  </si>
  <si>
    <t>[{"rank": 1, "orders": 8, "item_id": "24616846046", "item_name": "Bánh Xốp Mayora Wafello Chocolate 210G", "model_name": "CALCHESE 153G 7/2026", "quantity_sold": 8}, {"rank": 2, "orders": 3, "item_id": "15484234913", "item_name": "Cà Phê Sữa Hòa Tan Mayora Kopiko Macchiato 400G", "model_name": "1 GÓI", "quantity_sold": 4}, {"rank": 3, "orders": 3, "item_id": "15584241449", "item_name": "Kẹo Mayora Cà Phê Kopiko 560G", "model_name": "1 hộp", "quantity_sold": 3}]</t>
  </si>
  <si>
    <t>[{"rank": 1, "orders": 1, "item_id": "46451334830", "item_name": "Bánh Quế Xốp Kem Socola Mayora Go Choco Rollz 375G", "model_name": "1 HỘP", "quantity_sold": 1}, {"rank": 2, "orders": 1, "item_id": "26580532173", "item_name": "Bánh Quy Sữa Mới Mayora D-Maxx Marie - Hộp Giấy 308G (14 Gói X 22G)", "model_name": "308G", "quantity_sold": 1}, {"rank": 3, "orders": 1, "item_id": "47601348595", "item_name": "Bánh Xốp Mayora Superstar 375G (30 Thanh X12.5G)", "model_name": "1 HỘP", "quantity_sold": 1}]</t>
  </si>
  <si>
    <t>[{"rank": 1, "orders": 1, "item_id": "15084234863", "item_name": "Kẹo Cà Phê Sữa Mayora Kopiko 140G", "model_name": "KẸO CÀ PHÊ ĐEN", "quantity_sold": 5}, {"rank": 2, "orders": 3, "item_id": "15484234913", "item_name": "Cà Phê Sữa Hòa Tan Mayora Kopiko Macchiato 400G", "model_name": "COMBO 5 GÓI", "quantity_sold": 4}, {"rank": 3, "orders": 3, "item_id": "15584241449", "item_name": "Kẹo Mayora Cà Phê Kopiko 560G", "model_name": "1 hộp", "quantity_sold": 4}]</t>
  </si>
  <si>
    <t>[{"rank": 1, "orders": 1, "item_id": "46451334830", "item_name": "Bánh Quế Xốp Kem Socola Mayora Go Choco Rollz 375G", "model_name": "2 HỘP", "quantity_sold": 1}, {"rank": 2, "orders": 1, "item_id": "42801105610", "item_name": "Bánh Quy Bơ &amp; Cacao Mayora Danisa Abbracci Hộp 168G", "model_name": "1 hộp lẻ", "quantity_sold": 1}, {"rank": 3, "orders": 1, "item_id": "24616846046", "item_name": "Bánh Xốp Mayora Wafello Chocolate 210G", "model_name": "CALCHESE 153G 7/2026", "quantity_sold": 1}]</t>
  </si>
  <si>
    <t>[{"rank": 1, "orders": 3, "item_id": "15484234913", "item_name": "Cà Phê Sữa Hòa Tan Mayora Kopiko Macchiato 400G", "model_name": "1 GÓI", "quantity_sold": 3}, {"rank": 2, "orders": 2, "item_id": "24956187823", "item_name": "Bánh Quy Bơ Mayora Danisa 200G", "model_name": "", "quantity_sold": 2}, {"rank": 3, "orders": 1, "item_id": "46451334830", "item_name": "Bánh Quế Xốp Kem Socola Mayora Go Choco Rollz 375G", "model_name": "2 HỘP", "quantity_sold": 1}]</t>
  </si>
  <si>
    <t>[{"rank": 1, "orders": 1, "item_id": "24616846046", "item_name": "Bánh Xốp Mayora Wafello Chocolate 210G", "model_name": "CAL CHEESE 200G", "quantity_sold": 1}, {"rank": 2, "orders": 1, "item_id": "15584241449", "item_name": "Kẹo Mayora Cà Phê Kopiko 560G", "model_name": "1 hộp", "quantity_sold": 1}, {"rank": 3, "orders": 1, "item_id": "16067874699", "item_name": "Kẹo Mayora The Fres Barley 150G", "model_name": "KẸO XANH LÁ", "quantity_sold": 1}]</t>
  </si>
  <si>
    <t>[{"rank": 1, "orders": 2, "item_id": "16167874509", "item_name": "Bánh Quy Bơ Mayora Danisa 681G", "model_name": "", "quantity_sold": 2}, {"rank": 2, "orders": 1, "item_id": "24956187823", "item_name": "Bánh Quy Bơ Mayora Danisa 200G", "model_name": "", "quantity_sold": 1}, {"rank": 3, "orders": 1, "item_id": "16167874390", "item_name": "Bánh Quy Vị Cà Phê Mayora Coffee Joy 156G", "model_name": "2hộp156g HSD 11/2026", "quantity_sold": 1}]</t>
  </si>
  <si>
    <t>[{"rank": 1, "orders": 1, "item_id": "16067874699", "item_name": "Kẹo Mayora The Fres Barley 150G", "model_name": "KẸO ME TAMARIN", "quantity_sold": 2}, {"rank": 2, "orders": 1, "item_id": "29233346058", "item_name": "Bánh Quy Mayora Danisa Chocofello 150G", "model_name": "combo 2 hộp", "quantity_sold": 1}, {"rank": 3, "orders": 1, "item_id": "15184234867", "item_name": "Bánh Quy Vị Cà Phê Mayora Coffee Joy 312G", "model_name": "Hộp Coffe joy 312G", "quantity_sold": 1}]</t>
  </si>
  <si>
    <t>[{"rank": 1, "orders": 1, "item_id": "15484234913", "item_name": "Cà Phê Sữa Hòa Tan Mayora Kopiko Macchiato 400G", "model_name": "COMBO 2 GÓI", "quantity_sold": 1}, {"rank": 2, "orders": 1, "item_id": "51063922408", "item_name": "Combo Văn Phòng Kopiko", "model_name": "Kẹo Đen + macchiato", "quantity_sold": 1}, {"rank": 3, "orders": 1, "item_id": "51063922408", "item_name": "Combo Văn Phòng Kopiko", "model_name": "Kẹo Sữa + macchiato", "quantity_sold": 1}]</t>
  </si>
  <si>
    <t>[{"rank": 1, "orders": 1, "item_id": "51957402000", "item_name": "Bánh Quy Bơ Mayora Danisa 72G", "model_name": "2 HỘP", "quantity_sold": 1}]</t>
  </si>
  <si>
    <t>[]</t>
  </si>
  <si>
    <t>Khách mới, khách cũ + Top 3</t>
  </si>
  <si>
    <t>Phân khúc + Top 3</t>
  </si>
  <si>
    <t>top_3_products</t>
  </si>
  <si>
    <t>Top Buyers</t>
  </si>
  <si>
    <t>Big Spenders</t>
  </si>
  <si>
    <t>[{"rank": 1, "orders": 4, "item_id": "20140942183", "item_name": "Combo 2 Hủ Kẹo Cà Phê Sữa Mayora Kopiko 560G", "model_name": "Combo 2", "quantity_sold": 4}, {"rank": 2, "orders": 1, "item_id": "24956187823", "item_name": "Bánh Quy Bơ Mayora Danisa 200G", "model_name": "", "quantity_sold": 4}, {"rank": 3, "orders": 3, "item_id": "45602582884", "item_name": "( Quà Tặng Livestream) Phiên Live Danisa", "model_name": "1 GÓI", "quantity_sold": 3}]</t>
  </si>
  <si>
    <t>[{"rank": 1, "orders": 2, "item_id": "29233346058", "item_name": "Bánh Quy Mayora Danisa Chocofello 150G", "model_name": "1 hộp lẻ", "quantity_sold": 2}, {"rank": 2, "orders": 2, "item_id": "15084234863", "item_name": "Kẹo Cà Phê Sữa Mayora Kopiko 140G", "model_name": "KẸO CÀ PHÊ ĐEN", "quantity_sold": 2}, {"rank": 3, "orders": 1, "item_id": "16167874390", "item_name": "Bánh Quy Vị Cà Phê Mayora Coffee Joy 156G", "model_name": "1hộp156g HSD11/2026", "quantity_sold": 1}]</t>
  </si>
  <si>
    <t>Occasional Buyers</t>
  </si>
  <si>
    <t>[{"rank": 1, "orders": 2, "item_id": "15584241449", "item_name": "Kẹo Mayora Cà Phê Kopiko 560G", "model_name": "1 hộp", "quantity_sold": 2}, {"rank": 2, "orders": 1, "item_id": "42801105610", "item_name": "Bánh Quy Bơ &amp; Cacao Mayora Danisa Abbracci Hộp 168G", "model_name": "1 hộp lẻ", "quantity_sold": 1}, {"rank": 3, "orders": 1, "item_id": "29233346058", "item_name": "Bánh Quy Mayora Danisa Chocofello 150G", "model_name": "1 hộp lẻ", "quantity_sold": 1}]</t>
  </si>
  <si>
    <t>[{"rank": 1, "orders": 8, "item_id": "24616846046", "item_name": "Bánh Xốp Mayora Wafello Chocolate 210G", "model_name": "CALCHESE 153G 7/2026", "quantity_sold": 8}, {"rank": 2, "orders": 2, "item_id": "16167874509", "item_name": "Bánh Quy Bơ Mayora Danisa 681G", "model_name": "", "quantity_sold": 2}, {"rank": 3, "orders": 2, "item_id": "47601348595", "item_name": "Bánh Xốp Mayora Superstar 375G (30 Thanh X12.5G)", "model_name": "1 HỘP", "quantity_sold": 2}]</t>
  </si>
  <si>
    <t>[{"rank": 1, "orders": 3, "item_id": "15584241449", "item_name": "Kẹo Mayora Cà Phê Kopiko 560G", "model_name": "1 hộp", "quantity_sold": 3}, {"rank": 2, "orders": 2, "item_id": "12892358205", "item_name": "Kẹo Cà Phê Sữa Mayora Kopiko 560G", "model_name": "1 hộp", "quantity_sold": 2}, {"rank": 3, "orders": 1, "item_id": "24616846046", "item_name": "Bánh Xốp Mayora Wafello Chocolate 210G", "model_name": "WAFELLO 210G", "quantity_sold": 2}]</t>
  </si>
  <si>
    <t>[{"rank": 1, "orders": 2, "item_id": "15484234913", "item_name": "Cà Phê Sữa Hòa Tan Mayora Kopiko Macchiato 400G", "model_name": "1 GÓI", "quantity_sold": 2}, {"rank": 2, "orders": 2, "item_id": "20140942183", "item_name": "Combo 2 Hủ Kẹo Cà Phê Sữa Mayora Kopiko 560G", "model_name": "Combo 2", "quantity_sold": 2}, {"rank": 3, "orders": 1, "item_id": "42801105610", "item_name": "Bánh Quy Bơ &amp; Cacao Mayora Danisa Abbracci Hộp 168G", "model_name": "combo 2 hộp", "quantity_sold": 1}]</t>
  </si>
  <si>
    <t>[{"rank": 1, "orders": 4, "item_id": "15484234913", "item_name": "Cà Phê Sữa Hòa Tan Mayora Kopiko Macchiato 400G", "model_name": "COMBO 5 GÓI", "quantity_sold": 5}, {"rank": 2, "orders": 2, "item_id": "46451334830", "item_name": "Bánh Quế Xốp Kem Socola Mayora Go Choco Rollz 375G", "model_name": "2 HỘP", "quantity_sold": 2}, {"rank": 3, "orders": 2, "item_id": "24616846046", "item_name": "Bánh Xốp Mayora Wafello Chocolate 210G", "model_name": "CALCHESE 153G 7/2026", "quantity_sold": 2}]</t>
  </si>
  <si>
    <t>[{"rank": 1, "orders": 2, "item_id": "49813936807", "item_name": "Combo Best Seller", "model_name": "", "quantity_sold": 2}, {"rank": 2, "orders": 2, "item_id": "15584241449", "item_name": "Kẹo Mayora Cà Phê Kopiko 560G", "model_name": "1 hộp", "quantity_sold": 2}, {"rank": 3, "orders": 1, "item_id": "16067874699", "item_name": "Kẹo Mayora The Fres Barley 150G", "model_name": "KẸO XANH LÁ", "quantity_sold": 2}]</t>
  </si>
  <si>
    <t>[{"rank": 1, "orders": 2, "item_id": "15084234863", "item_name": "Kẹo Cà Phê Sữa Mayora Kopiko 140G", "model_name": "KẸO CÀ PHÊ ĐEN", "quantity_sold": 6}, {"rank": 2, "orders": 1, "item_id": "26580532173", "item_name": "Bánh Quy Sữa Mới Mayora D-Maxx Marie - Hộp Giấy 308G (14 Gói X 22G)", "model_name": "220G", "quantity_sold": 3}, {"rank": 3, "orders": 2, "item_id": "24956187823", "item_name": "Bánh Quy Bơ Mayora Danisa 200G", "model_name": "", "quantity_sold": 2}]</t>
  </si>
  <si>
    <t>[{"rank": 1, "orders": 1, "item_id": "46451334830", "item_name": "Bánh Quế Xốp Kem Socola Mayora Go Choco Rollz 375G", "model_name": "2 HỘP", "quantity_sold": 1}, {"rank": 2, "orders": 1, "item_id": "16167874509", "item_name": "Bánh Quy Bơ Mayora Danisa 681G", "model_name": "", "quantity_sold": 1}, {"rank": 3, "orders": 1, "item_id": "24616846046", "item_name": "Bánh Xốp Mayora Wafello Chocolate 210G", "model_name": "CAL CHEESE 200G", "quantity_sold": 1}]</t>
  </si>
  <si>
    <t>[{"rank": 1, "orders": 1, "item_id": "24956187823", "item_name": "Bánh Quy Bơ Mayora Danisa 200G", "model_name": "", "quantity_sold": 1}, {"rank": 2, "orders": 1, "item_id": "15484234913", "item_name": "Cà Phê Sữa Hòa Tan Mayora Kopiko Macchiato 400G", "model_name": "1 GÓI", "quantity_sold": 1}, {"rank": 3, "orders": 1, "item_id": "20540949887", "item_name": "Combo 2 Kẹo Cà Phê Sữa Mayora Kopiko 135G", "model_name": "2 gói cà phê sữa", "quantity_sold": 1}]</t>
  </si>
  <si>
    <t>[{"rank": 1, "orders": 2, "item_id": "15484234913", "item_name": "Cà Phê Sữa Hòa Tan Mayora Kopiko Macchiato 400G", "model_name": "1 GÓI", "quantity_sold": 2}, {"rank": 2, "orders": 1, "item_id": "24956187823", "item_name": "Bánh Quy Bơ Mayora Danisa 200G", "model_name": "", "quantity_sold": 1}]</t>
  </si>
  <si>
    <t>[{"rank": 1, "orders": 2, "item_id": "15484234913", "item_name": "Cà Phê Sữa Hòa Tan Mayora Kopiko Macchiato 400G", "model_name": "COMBO 5 GÓI", "quantity_sold": 2}, {"rank": 2, "orders": 1, "item_id": "16167874509", "item_name": "Bánh Quy Bơ Mayora Danisa 681G", "model_name": "", "quantity_sold": 1}]</t>
  </si>
  <si>
    <t>[{"rank": 1, "orders": 1, "item_id": "24956187823", "item_name": "Bánh Quy Bơ Mayora Danisa 200G", "model_name": "", "quantity_sold": 1}, {"rank": 2, "orders": 1, "item_id": "16167874390", "item_name": "Bánh Quy Vị Cà Phê Mayora Coffee Joy 156G", "model_name": "2hộp156g HSD 11/2026", "quantity_sold": 1}, {"rank": 3, "orders": 1, "item_id": "15484234913", "item_name": "Cà Phê Sữa Hòa Tan Mayora Kopiko Macchiato 400G", "model_name": "1 GÓI", "quantity_sold": 1}]</t>
  </si>
  <si>
    <t>[{"rank": 1, "orders": 1, "item_id": "16067874699", "item_name": "Kẹo Mayora The Fres Barley 150G", "model_name": "KẸO ME TAMARIN", "quantity_sold": 2}, {"rank": 2, "orders": 1, "item_id": "16167874509", "item_name": "Bánh Quy Bơ Mayora Danisa 681G", "model_name": "", "quantity_sold": 1}, {"rank": 3, "orders": 1, "item_id": "29233346058", "item_name": "Bánh Quy Mayora Danisa Chocofello 150G", "model_name": "combo 2 hộp", "quantity_sold": 1}]</t>
  </si>
  <si>
    <t>[{"rank": 1, "orders": 1, "item_id": "15484234913", "item_name": "Cà Phê Sữa Hòa Tan Mayora Kopiko Macchiato 400G", "model_name": "COMBO 2 GÓI", "quantity_sold": 1}]</t>
  </si>
  <si>
    <t>[{"rank": 1, "orders": 1, "item_id": "51957402000", "item_name": "Bánh Quy Bơ Mayora Danisa 72G", "model_name": "2 HỘP", "quantity_sold": 1}, {"rank": 2, "orders": 1, "item_id": "51063922408", "item_name": "Combo Văn Phòng Kopiko", "model_name": "Kẹo Đen + macchiato", "quantity_sold": 1}]</t>
  </si>
  <si>
    <t>[{"rank": 1, "orders": 1, "item_id": "51063922408", "item_name": "Combo Văn Phòng Kopiko", "model_name": "Kẹo Sữa + macchiato", "quantity_sold": 1}]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</si>
</sst>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\.mm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  <family val="1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Times New Roman"/>
      <family val="1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39" fontId="2" fillId="0" borderId="0" xfId="0" applyNumberFormat="1" applyFont="1"/>
    <xf numFmtId="39" fontId="3" fillId="0" borderId="0" xfId="0" applyNumberFormat="1" applyFont="1" applyAlignment="1">
      <alignment horizontal="center"/>
    </xf>
    <xf numFmtId="37" fontId="2" fillId="0" borderId="0" xfId="0" applyNumberFormat="1" applyFont="1"/>
    <xf numFmtId="39" fontId="2" fillId="0" borderId="0" xfId="0" applyNumberFormat="1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39" fontId="4" fillId="0" borderId="0" xfId="0" applyNumberFormat="1" applyFont="1"/>
    <xf numFmtId="14" fontId="2" fillId="0" borderId="0" xfId="0" applyNumberFormat="1" applyFont="1"/>
    <xf numFmtId="0" fontId="6" fillId="0" borderId="0" xfId="0" applyFont="1"/>
    <xf numFmtId="0" fontId="5" fillId="0" borderId="0" xfId="0" applyFont="1"/>
    <xf numFmtId="10" fontId="6" fillId="0" borderId="0" xfId="0" applyNumberFormat="1" applyFont="1"/>
    <xf numFmtId="3" fontId="6" fillId="0" borderId="0" xfId="0" applyNumberFormat="1" applyFont="1"/>
    <xf numFmtId="9" fontId="6" fillId="0" borderId="0" xfId="0" applyNumberFormat="1" applyFont="1"/>
    <xf numFmtId="0" fontId="9" fillId="0" borderId="0" xfId="0" applyFont="1"/>
    <xf numFmtId="14" fontId="9" fillId="0" borderId="0" xfId="0" applyNumberFormat="1" applyFont="1"/>
    <xf numFmtId="0" fontId="8" fillId="0" borderId="0" xfId="0" applyFont="1"/>
    <xf numFmtId="39" fontId="2" fillId="0" borderId="0" xfId="0" applyNumberFormat="1" applyFont="1" applyAlignment="1">
      <alignment horizontal="center"/>
    </xf>
    <xf numFmtId="0" fontId="0" fillId="0" borderId="0" xfId="0"/>
    <xf numFmtId="39" fontId="4" fillId="0" borderId="0" xfId="0" applyNumberFormat="1" applyFont="1" applyAlignment="1">
      <alignment horizontal="center"/>
    </xf>
    <xf numFmtId="39" fontId="2" fillId="0" borderId="0" xfId="0" applyNumberFormat="1" applyFont="1"/>
    <xf numFmtId="39" fontId="3" fillId="0" borderId="0" xfId="0" applyNumberFormat="1" applyFont="1" applyAlignment="1">
      <alignment horizontal="center"/>
    </xf>
    <xf numFmtId="39" fontId="7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59</xdr:row>
      <xdr:rowOff>0</xdr:rowOff>
    </xdr:from>
    <xdr:ext cx="17449800" cy="339090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7"/>
  <sheetViews>
    <sheetView tabSelected="1" topLeftCell="A313" workbookViewId="0">
      <selection activeCell="E328" sqref="E328"/>
    </sheetView>
  </sheetViews>
  <sheetFormatPr baseColWidth="10" defaultColWidth="12.6640625" defaultRowHeight="15.75" customHeight="1" x14ac:dyDescent="0.15"/>
  <cols>
    <col min="1" max="26" width="17.6640625" customWidth="1"/>
  </cols>
  <sheetData>
    <row r="1" spans="1:26" ht="13" x14ac:dyDescent="0.15">
      <c r="A1" s="23" t="s">
        <v>2</v>
      </c>
      <c r="B1" s="21"/>
      <c r="C1" s="21"/>
      <c r="D1" s="21"/>
      <c r="E1" s="21"/>
      <c r="F1" s="21"/>
      <c r="G1" s="2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" x14ac:dyDescent="0.15">
      <c r="A2" s="24" t="s">
        <v>0</v>
      </c>
      <c r="B2" s="21"/>
      <c r="C2" s="21"/>
      <c r="D2" s="21"/>
      <c r="E2" s="21"/>
      <c r="F2" s="2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9</v>
      </c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4">
        <v>488</v>
      </c>
      <c r="B4" s="4">
        <v>530</v>
      </c>
      <c r="C4" s="4">
        <v>57671416</v>
      </c>
      <c r="D4" s="2">
        <v>108813.99</v>
      </c>
      <c r="E4" s="2">
        <v>77.38</v>
      </c>
      <c r="F4" s="2">
        <v>16.670000000000002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4" t="s">
        <v>3</v>
      </c>
      <c r="B5" s="21"/>
      <c r="C5" s="21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5" t="s">
        <v>18</v>
      </c>
      <c r="B6" s="5"/>
      <c r="C6" s="5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6" t="s">
        <v>21</v>
      </c>
      <c r="B7" s="4" t="s">
        <v>22</v>
      </c>
      <c r="C7" s="4" t="s">
        <v>23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7">
        <v>46143</v>
      </c>
      <c r="B8" s="4">
        <v>0</v>
      </c>
      <c r="C8" s="4"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7">
        <v>46144</v>
      </c>
      <c r="B9" s="4">
        <v>4</v>
      </c>
      <c r="C9" s="4">
        <v>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7">
        <v>46145</v>
      </c>
      <c r="B10" s="4">
        <v>15</v>
      </c>
      <c r="C10" s="4">
        <v>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7">
        <v>46146</v>
      </c>
      <c r="B11" s="4">
        <v>24</v>
      </c>
      <c r="C11" s="4">
        <v>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7">
        <v>46147</v>
      </c>
      <c r="B12" s="4">
        <v>29</v>
      </c>
      <c r="C12" s="4">
        <v>12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7">
        <v>46148</v>
      </c>
      <c r="B13" s="4">
        <v>29</v>
      </c>
      <c r="C13" s="4">
        <v>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7">
        <v>46149</v>
      </c>
      <c r="B14" s="4">
        <v>14</v>
      </c>
      <c r="C14" s="4">
        <v>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7">
        <v>46150</v>
      </c>
      <c r="B15" s="4">
        <v>22</v>
      </c>
      <c r="C15" s="4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7">
        <v>46151</v>
      </c>
      <c r="B16" s="4">
        <v>25</v>
      </c>
      <c r="C16" s="4">
        <v>12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7">
        <v>46152</v>
      </c>
      <c r="B17" s="4">
        <v>24</v>
      </c>
      <c r="C17" s="4">
        <v>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7">
        <v>46153</v>
      </c>
      <c r="B18" s="4">
        <v>24</v>
      </c>
      <c r="C18" s="4">
        <v>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7">
        <v>46154</v>
      </c>
      <c r="B19" s="4">
        <v>22</v>
      </c>
      <c r="C19" s="4">
        <v>12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7">
        <v>46155</v>
      </c>
      <c r="B20" s="4">
        <v>17</v>
      </c>
      <c r="C20" s="4">
        <v>11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7">
        <v>46156</v>
      </c>
      <c r="B21" s="4">
        <v>9</v>
      </c>
      <c r="C21" s="4">
        <v>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7">
        <v>46157</v>
      </c>
      <c r="B22" s="4">
        <v>8</v>
      </c>
      <c r="C22" s="4">
        <v>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7">
        <v>46158</v>
      </c>
      <c r="B23" s="4">
        <v>1</v>
      </c>
      <c r="C23" s="4"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7">
        <v>46159</v>
      </c>
      <c r="B24" s="4">
        <v>0</v>
      </c>
      <c r="C24" s="4"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0" t="s">
        <v>26</v>
      </c>
      <c r="B25" s="21"/>
      <c r="C25" s="2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/>
      <c r="B26" s="2" t="s">
        <v>22</v>
      </c>
      <c r="C26" s="2" t="s">
        <v>23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10" t="s">
        <v>110</v>
      </c>
      <c r="B27" s="2">
        <v>74.08</v>
      </c>
      <c r="C27" s="2">
        <v>25.92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10" t="s">
        <v>109</v>
      </c>
      <c r="B28" s="2">
        <v>69.11</v>
      </c>
      <c r="C28" s="2">
        <v>30.89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4" t="s">
        <v>28</v>
      </c>
      <c r="B29" s="21"/>
      <c r="C29" s="2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0" t="s">
        <v>29</v>
      </c>
      <c r="B30" s="21"/>
      <c r="C30" s="2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30</v>
      </c>
      <c r="B31" s="2" t="s">
        <v>31</v>
      </c>
      <c r="C31" s="2" t="s">
        <v>32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33</v>
      </c>
      <c r="B32" s="2" t="s">
        <v>34</v>
      </c>
      <c r="C32" s="4">
        <v>22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33</v>
      </c>
      <c r="B33" s="2" t="s">
        <v>35</v>
      </c>
      <c r="C33" s="4">
        <v>7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33</v>
      </c>
      <c r="B34" s="2" t="s">
        <v>36</v>
      </c>
      <c r="C34" s="4">
        <v>10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33</v>
      </c>
      <c r="B35" s="2" t="s">
        <v>37</v>
      </c>
      <c r="C35" s="4">
        <v>7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33</v>
      </c>
      <c r="B36" s="2" t="s">
        <v>38</v>
      </c>
      <c r="C36" s="4">
        <v>12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33</v>
      </c>
      <c r="B37" s="2" t="s">
        <v>39</v>
      </c>
      <c r="C37" s="4">
        <v>10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40</v>
      </c>
      <c r="B38" s="2" t="s">
        <v>34</v>
      </c>
      <c r="C38" s="4">
        <v>26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40</v>
      </c>
      <c r="B39" s="2" t="s">
        <v>35</v>
      </c>
      <c r="C39" s="4">
        <v>14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40</v>
      </c>
      <c r="B40" s="2" t="s">
        <v>36</v>
      </c>
      <c r="C40" s="4">
        <v>10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40</v>
      </c>
      <c r="B41" s="2" t="s">
        <v>37</v>
      </c>
      <c r="C41" s="4">
        <v>17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40</v>
      </c>
      <c r="B42" s="2" t="s">
        <v>38</v>
      </c>
      <c r="C42" s="4">
        <v>11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40</v>
      </c>
      <c r="B43" s="2" t="s">
        <v>39</v>
      </c>
      <c r="C43" s="4">
        <v>11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41</v>
      </c>
      <c r="B44" s="2" t="s">
        <v>34</v>
      </c>
      <c r="C44" s="4">
        <v>30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41</v>
      </c>
      <c r="B45" s="2" t="s">
        <v>35</v>
      </c>
      <c r="C45" s="4">
        <v>25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41</v>
      </c>
      <c r="B46" s="2" t="s">
        <v>36</v>
      </c>
      <c r="C46" s="4">
        <v>6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41</v>
      </c>
      <c r="B47" s="2" t="s">
        <v>37</v>
      </c>
      <c r="C47" s="4">
        <v>10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41</v>
      </c>
      <c r="B48" s="2" t="s">
        <v>38</v>
      </c>
      <c r="C48" s="4">
        <v>11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41</v>
      </c>
      <c r="B49" s="2" t="s">
        <v>39</v>
      </c>
      <c r="C49" s="4">
        <v>5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42</v>
      </c>
      <c r="B50" s="2" t="s">
        <v>34</v>
      </c>
      <c r="C50" s="4">
        <v>22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42</v>
      </c>
      <c r="B51" s="2" t="s">
        <v>35</v>
      </c>
      <c r="C51" s="4">
        <v>7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42</v>
      </c>
      <c r="B52" s="2" t="s">
        <v>36</v>
      </c>
      <c r="C52" s="4">
        <v>9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42</v>
      </c>
      <c r="B53" s="2" t="s">
        <v>37</v>
      </c>
      <c r="C53" s="4">
        <v>13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42</v>
      </c>
      <c r="B54" s="2" t="s">
        <v>38</v>
      </c>
      <c r="C54" s="4">
        <v>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42</v>
      </c>
      <c r="B55" s="2" t="s">
        <v>39</v>
      </c>
      <c r="C55" s="4">
        <v>8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43</v>
      </c>
      <c r="B56" s="2" t="s">
        <v>34</v>
      </c>
      <c r="C56" s="4">
        <v>30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43</v>
      </c>
      <c r="B57" s="2" t="s">
        <v>35</v>
      </c>
      <c r="C57" s="4">
        <v>15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43</v>
      </c>
      <c r="B58" s="2" t="s">
        <v>36</v>
      </c>
      <c r="C58" s="4">
        <v>10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43</v>
      </c>
      <c r="B59" s="2" t="s">
        <v>37</v>
      </c>
      <c r="C59" s="4">
        <v>15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43</v>
      </c>
      <c r="B60" s="2" t="s">
        <v>38</v>
      </c>
      <c r="C60" s="4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43</v>
      </c>
      <c r="B61" s="2" t="s">
        <v>39</v>
      </c>
      <c r="C61" s="4">
        <v>6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 t="s">
        <v>44</v>
      </c>
      <c r="B62" s="2" t="s">
        <v>34</v>
      </c>
      <c r="C62" s="4">
        <v>19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 t="s">
        <v>44</v>
      </c>
      <c r="B63" s="2" t="s">
        <v>35</v>
      </c>
      <c r="C63" s="4">
        <v>10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 t="s">
        <v>44</v>
      </c>
      <c r="B64" s="2" t="s">
        <v>36</v>
      </c>
      <c r="C64" s="4">
        <v>6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 t="s">
        <v>44</v>
      </c>
      <c r="B65" s="2" t="s">
        <v>37</v>
      </c>
      <c r="C65" s="4">
        <v>11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 t="s">
        <v>44</v>
      </c>
      <c r="B66" s="2" t="s">
        <v>38</v>
      </c>
      <c r="C66" s="4">
        <v>12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 t="s">
        <v>44</v>
      </c>
      <c r="B67" s="2" t="s">
        <v>39</v>
      </c>
      <c r="C67" s="4">
        <v>7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 t="s">
        <v>45</v>
      </c>
      <c r="B68" s="2" t="s">
        <v>34</v>
      </c>
      <c r="C68" s="4">
        <v>24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 t="s">
        <v>45</v>
      </c>
      <c r="B69" s="2" t="s">
        <v>35</v>
      </c>
      <c r="C69" s="4">
        <v>10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 t="s">
        <v>45</v>
      </c>
      <c r="B70" s="2" t="s">
        <v>36</v>
      </c>
      <c r="C70" s="4">
        <v>19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 t="s">
        <v>45</v>
      </c>
      <c r="B71" s="2" t="s">
        <v>37</v>
      </c>
      <c r="C71" s="4">
        <v>8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 t="s">
        <v>45</v>
      </c>
      <c r="B72" s="2" t="s">
        <v>38</v>
      </c>
      <c r="C72" s="4">
        <v>11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 t="s">
        <v>45</v>
      </c>
      <c r="B73" s="2" t="s">
        <v>39</v>
      </c>
      <c r="C73" s="4">
        <v>5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0" t="s">
        <v>8</v>
      </c>
      <c r="B74" s="21"/>
      <c r="C74" s="2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 t="s">
        <v>46</v>
      </c>
      <c r="B75" s="2" t="s">
        <v>47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 t="s">
        <v>33</v>
      </c>
      <c r="B76" s="4">
        <v>68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 t="s">
        <v>40</v>
      </c>
      <c r="B77" s="4">
        <v>89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 t="s">
        <v>41</v>
      </c>
      <c r="B78" s="4">
        <v>87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 t="s">
        <v>42</v>
      </c>
      <c r="B79" s="4">
        <v>64</v>
      </c>
      <c r="C79" s="8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 t="s">
        <v>43</v>
      </c>
      <c r="B80" s="4">
        <v>80</v>
      </c>
      <c r="C80" s="8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 t="s">
        <v>44</v>
      </c>
      <c r="B81" s="4">
        <v>65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 t="s">
        <v>45</v>
      </c>
      <c r="B82" s="4">
        <v>77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4" t="s">
        <v>48</v>
      </c>
      <c r="B83" s="21"/>
      <c r="C83" s="2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 t="s">
        <v>49</v>
      </c>
      <c r="B84" s="2" t="s">
        <v>50</v>
      </c>
      <c r="C84" s="2" t="s">
        <v>51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 t="s">
        <v>52</v>
      </c>
      <c r="B85" s="4">
        <v>29</v>
      </c>
      <c r="C85" s="4">
        <v>5149401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 t="s">
        <v>53</v>
      </c>
      <c r="B86" s="4">
        <v>19</v>
      </c>
      <c r="C86" s="4">
        <v>2029562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 t="s">
        <v>54</v>
      </c>
      <c r="B87" s="4">
        <v>13</v>
      </c>
      <c r="C87" s="4">
        <v>1697365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 t="s">
        <v>55</v>
      </c>
      <c r="B88" s="4">
        <v>10</v>
      </c>
      <c r="C88" s="4">
        <v>1200881</v>
      </c>
      <c r="E88" s="8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 t="s">
        <v>56</v>
      </c>
      <c r="B89" s="4">
        <v>9</v>
      </c>
      <c r="C89" s="4">
        <v>735961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 t="s">
        <v>57</v>
      </c>
      <c r="B90" s="4">
        <v>7</v>
      </c>
      <c r="C90" s="4">
        <v>660315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 t="s">
        <v>58</v>
      </c>
      <c r="B91" s="4">
        <v>7</v>
      </c>
      <c r="C91" s="4">
        <v>492519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 t="s">
        <v>59</v>
      </c>
      <c r="B92" s="4">
        <v>6</v>
      </c>
      <c r="C92" s="4">
        <v>802900</v>
      </c>
      <c r="E92" s="8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 t="s">
        <v>60</v>
      </c>
      <c r="B93" s="4">
        <v>3</v>
      </c>
      <c r="C93" s="4">
        <v>305000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 t="s">
        <v>61</v>
      </c>
      <c r="B94" s="4">
        <v>2</v>
      </c>
      <c r="C94" s="4">
        <v>161000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 t="s">
        <v>62</v>
      </c>
      <c r="B95" s="4">
        <v>1</v>
      </c>
      <c r="C95" s="4">
        <v>40300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4">
        <f>SUM(C84:C95)</f>
        <v>13275204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4" t="s">
        <v>17</v>
      </c>
      <c r="B97" s="21"/>
      <c r="C97" s="2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3"/>
      <c r="B98" s="5" t="s">
        <v>50</v>
      </c>
      <c r="C98" s="5" t="s">
        <v>63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 t="s">
        <v>64</v>
      </c>
      <c r="B99" s="4">
        <v>80</v>
      </c>
      <c r="C99" s="2">
        <f t="shared" ref="C99:C101" si="0">B99/SUM($B$99:$B$101)*100</f>
        <v>32.388663967611336</v>
      </c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 t="s">
        <v>65</v>
      </c>
      <c r="B100" s="4">
        <v>137</v>
      </c>
      <c r="C100" s="2">
        <f t="shared" si="0"/>
        <v>55.465587044534416</v>
      </c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 t="s">
        <v>66</v>
      </c>
      <c r="B101" s="4">
        <v>30</v>
      </c>
      <c r="C101" s="2">
        <f t="shared" si="0"/>
        <v>12.145748987854251</v>
      </c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5" t="s">
        <v>51</v>
      </c>
      <c r="C102" s="5" t="s">
        <v>63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 t="s">
        <v>64</v>
      </c>
      <c r="B103" s="4">
        <v>11545411</v>
      </c>
      <c r="C103" s="2" t="s">
        <v>67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 t="s">
        <v>65</v>
      </c>
      <c r="B104" s="4">
        <v>13507069</v>
      </c>
      <c r="C104" s="2" t="s">
        <v>68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 t="s">
        <v>66</v>
      </c>
      <c r="B105" s="4">
        <v>5034040</v>
      </c>
      <c r="C105" s="2" t="s">
        <v>69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0" t="s">
        <v>70</v>
      </c>
      <c r="B106" s="21"/>
      <c r="C106" s="21"/>
      <c r="D106" s="21"/>
      <c r="E106" s="21"/>
      <c r="F106" s="21"/>
      <c r="G106" s="21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 t="s">
        <v>64</v>
      </c>
      <c r="C107" s="2" t="s">
        <v>71</v>
      </c>
      <c r="D107" s="2"/>
      <c r="E107" s="2" t="s">
        <v>72</v>
      </c>
      <c r="F107" s="2" t="s">
        <v>73</v>
      </c>
      <c r="G107" s="2" t="s">
        <v>51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4">
        <v>1</v>
      </c>
      <c r="B108" s="2" t="s">
        <v>74</v>
      </c>
      <c r="C108" s="9">
        <v>20140942183</v>
      </c>
      <c r="D108" s="4" t="s">
        <v>75</v>
      </c>
      <c r="E108" s="4">
        <v>7</v>
      </c>
      <c r="F108" s="4">
        <v>7</v>
      </c>
      <c r="G108" s="4">
        <v>1220100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4">
        <v>2</v>
      </c>
      <c r="B109" s="2" t="s">
        <v>76</v>
      </c>
      <c r="C109" s="9">
        <v>15484234913</v>
      </c>
      <c r="D109" s="4" t="s">
        <v>77</v>
      </c>
      <c r="E109" s="4">
        <v>7</v>
      </c>
      <c r="F109" s="4">
        <v>6</v>
      </c>
      <c r="G109" s="4">
        <v>3130400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4">
        <v>3</v>
      </c>
      <c r="B110" s="2" t="s">
        <v>78</v>
      </c>
      <c r="C110" s="9">
        <v>29233346058</v>
      </c>
      <c r="D110" s="4" t="s">
        <v>79</v>
      </c>
      <c r="E110" s="4">
        <v>6</v>
      </c>
      <c r="F110" s="4">
        <v>4</v>
      </c>
      <c r="G110" s="4">
        <v>565800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4">
        <v>4</v>
      </c>
      <c r="B111" s="2" t="s">
        <v>76</v>
      </c>
      <c r="C111" s="9">
        <v>15484234913</v>
      </c>
      <c r="D111" s="4" t="s">
        <v>80</v>
      </c>
      <c r="E111" s="4">
        <v>5</v>
      </c>
      <c r="F111" s="4">
        <v>5</v>
      </c>
      <c r="G111" s="4">
        <v>911500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4">
        <v>5</v>
      </c>
      <c r="B112" s="2" t="s">
        <v>81</v>
      </c>
      <c r="C112" s="9">
        <v>49813936807</v>
      </c>
      <c r="D112" s="4"/>
      <c r="E112" s="4">
        <v>5</v>
      </c>
      <c r="F112" s="4">
        <v>5</v>
      </c>
      <c r="G112" s="4">
        <v>261500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4">
        <v>6</v>
      </c>
      <c r="B113" s="2" t="s">
        <v>82</v>
      </c>
      <c r="C113" s="9">
        <v>20540949887</v>
      </c>
      <c r="D113" s="4" t="s">
        <v>83</v>
      </c>
      <c r="E113" s="4">
        <v>4</v>
      </c>
      <c r="F113" s="4">
        <v>4</v>
      </c>
      <c r="G113" s="4">
        <v>209200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4">
        <v>7</v>
      </c>
      <c r="B114" s="2" t="s">
        <v>84</v>
      </c>
      <c r="C114" s="9">
        <v>44552142483</v>
      </c>
      <c r="D114" s="4"/>
      <c r="E114" s="4">
        <v>3</v>
      </c>
      <c r="F114" s="4">
        <v>3</v>
      </c>
      <c r="G114" s="4">
        <v>282900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4">
        <v>8</v>
      </c>
      <c r="B115" s="2" t="s">
        <v>85</v>
      </c>
      <c r="C115" s="9">
        <v>52563959751</v>
      </c>
      <c r="D115" s="4"/>
      <c r="E115" s="4">
        <v>2</v>
      </c>
      <c r="F115" s="4">
        <v>2</v>
      </c>
      <c r="G115" s="4">
        <v>348600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4">
        <v>9</v>
      </c>
      <c r="B116" s="2" t="s">
        <v>86</v>
      </c>
      <c r="C116" s="9">
        <v>57313958189</v>
      </c>
      <c r="D116" s="4" t="s">
        <v>87</v>
      </c>
      <c r="E116" s="4">
        <v>1</v>
      </c>
      <c r="F116" s="4">
        <v>1</v>
      </c>
      <c r="G116" s="4">
        <v>113300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4">
        <v>10</v>
      </c>
      <c r="B117" s="2" t="s">
        <v>88</v>
      </c>
      <c r="C117" s="9">
        <v>25893057187</v>
      </c>
      <c r="D117" s="4" t="s">
        <v>89</v>
      </c>
      <c r="E117" s="4">
        <v>1</v>
      </c>
      <c r="F117" s="4">
        <v>1</v>
      </c>
      <c r="G117" s="4">
        <v>84000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4"/>
      <c r="B118" s="2" t="s">
        <v>65</v>
      </c>
      <c r="C118" s="9"/>
      <c r="D118" s="4"/>
      <c r="E118" s="4"/>
      <c r="F118" s="4"/>
      <c r="G118" s="4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4">
        <v>1</v>
      </c>
      <c r="B119" s="2" t="s">
        <v>90</v>
      </c>
      <c r="C119" s="9">
        <v>15584241449</v>
      </c>
      <c r="D119" s="4"/>
      <c r="E119" s="4">
        <v>15</v>
      </c>
      <c r="F119" s="4">
        <v>14</v>
      </c>
      <c r="G119" s="4">
        <v>1350000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4">
        <v>2</v>
      </c>
      <c r="B120" s="2" t="s">
        <v>76</v>
      </c>
      <c r="C120" s="9">
        <v>15484234913</v>
      </c>
      <c r="D120" s="4"/>
      <c r="E120" s="4">
        <v>12</v>
      </c>
      <c r="F120" s="4">
        <v>11</v>
      </c>
      <c r="G120" s="4">
        <v>1128000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4">
        <v>3</v>
      </c>
      <c r="B121" s="2" t="s">
        <v>91</v>
      </c>
      <c r="C121" s="9">
        <v>24956187823</v>
      </c>
      <c r="D121" s="4"/>
      <c r="E121" s="4">
        <v>10</v>
      </c>
      <c r="F121" s="4">
        <v>7</v>
      </c>
      <c r="G121" s="4">
        <v>940000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4">
        <v>4</v>
      </c>
      <c r="B122" s="2" t="s">
        <v>92</v>
      </c>
      <c r="C122" s="9">
        <v>15084234863</v>
      </c>
      <c r="D122" s="4"/>
      <c r="E122" s="4">
        <v>8</v>
      </c>
      <c r="F122" s="4">
        <v>4</v>
      </c>
      <c r="G122" s="4">
        <v>232000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4">
        <v>5</v>
      </c>
      <c r="B123" s="2" t="s">
        <v>93</v>
      </c>
      <c r="C123" s="9">
        <v>16167874509</v>
      </c>
      <c r="D123" s="4"/>
      <c r="E123" s="4">
        <v>7</v>
      </c>
      <c r="F123" s="4">
        <v>7</v>
      </c>
      <c r="G123" s="4">
        <v>2219000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4">
        <v>6</v>
      </c>
      <c r="B124" s="2" t="s">
        <v>94</v>
      </c>
      <c r="C124" s="9">
        <v>24616846046</v>
      </c>
      <c r="D124" s="4"/>
      <c r="E124" s="4">
        <v>6</v>
      </c>
      <c r="F124" s="4">
        <v>5</v>
      </c>
      <c r="G124" s="4">
        <v>222000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4">
        <v>7</v>
      </c>
      <c r="B125" s="2" t="s">
        <v>95</v>
      </c>
      <c r="C125" s="9">
        <v>12892358205</v>
      </c>
      <c r="D125" s="4"/>
      <c r="E125" s="4">
        <v>5</v>
      </c>
      <c r="F125" s="4">
        <v>5</v>
      </c>
      <c r="G125" s="4">
        <v>450000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4">
        <v>8</v>
      </c>
      <c r="B126" s="2" t="s">
        <v>96</v>
      </c>
      <c r="C126" s="9">
        <v>16067874699</v>
      </c>
      <c r="D126" s="4"/>
      <c r="E126" s="4">
        <v>5</v>
      </c>
      <c r="F126" s="4">
        <v>3</v>
      </c>
      <c r="G126" s="4">
        <v>135000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4">
        <v>9</v>
      </c>
      <c r="B127" s="2" t="s">
        <v>96</v>
      </c>
      <c r="C127" s="9">
        <v>16067874699</v>
      </c>
      <c r="D127" s="4"/>
      <c r="E127" s="4">
        <v>4</v>
      </c>
      <c r="F127" s="4">
        <v>3</v>
      </c>
      <c r="G127" s="4">
        <v>108000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4">
        <v>10</v>
      </c>
      <c r="B128" s="2" t="s">
        <v>92</v>
      </c>
      <c r="C128" s="9">
        <v>15084234863</v>
      </c>
      <c r="D128" s="4"/>
      <c r="E128" s="4">
        <v>4</v>
      </c>
      <c r="F128" s="4">
        <v>4</v>
      </c>
      <c r="G128" s="4">
        <v>116000</v>
      </c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15">
      <c r="A129" s="20" t="s">
        <v>97</v>
      </c>
      <c r="B129" s="21"/>
      <c r="C129" s="21"/>
      <c r="D129" s="21"/>
      <c r="E129" s="21"/>
      <c r="F129" s="21"/>
      <c r="G129" s="21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 t="s">
        <v>98</v>
      </c>
      <c r="C130" s="2" t="s">
        <v>99</v>
      </c>
      <c r="D130" s="2" t="s">
        <v>71</v>
      </c>
      <c r="E130" s="2" t="s">
        <v>100</v>
      </c>
      <c r="F130" s="2" t="s">
        <v>101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4">
        <v>1</v>
      </c>
      <c r="B131" s="9">
        <v>29233346058</v>
      </c>
      <c r="C131" s="4" t="s">
        <v>102</v>
      </c>
      <c r="D131" s="9">
        <v>42801105610</v>
      </c>
      <c r="E131" s="4" t="s">
        <v>103</v>
      </c>
      <c r="F131" s="4">
        <v>3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4">
        <v>2</v>
      </c>
      <c r="B132" s="9">
        <v>24956187823</v>
      </c>
      <c r="C132" s="4" t="s">
        <v>104</v>
      </c>
      <c r="D132" s="9">
        <v>42801105610</v>
      </c>
      <c r="E132" s="4" t="s">
        <v>103</v>
      </c>
      <c r="F132" s="4">
        <v>2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4">
        <v>3</v>
      </c>
      <c r="B133" s="9">
        <v>26580532173</v>
      </c>
      <c r="C133" s="4" t="s">
        <v>105</v>
      </c>
      <c r="D133" s="9">
        <v>42801105610</v>
      </c>
      <c r="E133" s="4" t="s">
        <v>106</v>
      </c>
      <c r="F133" s="4">
        <v>2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4">
        <v>4</v>
      </c>
      <c r="B134" s="9">
        <v>15284234921</v>
      </c>
      <c r="C134" s="4" t="s">
        <v>107</v>
      </c>
      <c r="D134" s="9">
        <v>24616846046</v>
      </c>
      <c r="E134" s="4" t="s">
        <v>94</v>
      </c>
      <c r="F134" s="4">
        <v>2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4">
        <v>5</v>
      </c>
      <c r="B135" s="9">
        <v>24956187823</v>
      </c>
      <c r="C135" s="4" t="s">
        <v>108</v>
      </c>
      <c r="D135" s="9">
        <v>42801105610</v>
      </c>
      <c r="E135" s="4" t="s">
        <v>106</v>
      </c>
      <c r="F135" s="4">
        <v>2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10" t="s">
        <v>111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10" t="s">
        <v>111</v>
      </c>
      <c r="B139" s="10" t="s">
        <v>117</v>
      </c>
      <c r="C139" s="10" t="s">
        <v>118</v>
      </c>
      <c r="D139" s="10" t="s">
        <v>51</v>
      </c>
      <c r="E139" s="10" t="s">
        <v>27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 t="s">
        <v>112</v>
      </c>
      <c r="B140" s="2">
        <v>192</v>
      </c>
      <c r="C140" s="2">
        <v>39.340000000000003</v>
      </c>
      <c r="D140" s="2">
        <v>22872121</v>
      </c>
      <c r="E140" s="2">
        <v>39.659999999999997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 t="s">
        <v>22</v>
      </c>
      <c r="B141" s="2">
        <v>179</v>
      </c>
      <c r="C141" s="2">
        <v>36.68</v>
      </c>
      <c r="D141" s="2">
        <v>18368331</v>
      </c>
      <c r="E141" s="2">
        <v>31.85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 t="s">
        <v>113</v>
      </c>
      <c r="B142" s="2">
        <v>98</v>
      </c>
      <c r="C142" s="2">
        <v>20.079999999999998</v>
      </c>
      <c r="D142" s="2">
        <v>11159748</v>
      </c>
      <c r="E142" s="2">
        <v>19.350000000000001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 t="s">
        <v>114</v>
      </c>
      <c r="B143" s="2">
        <v>16</v>
      </c>
      <c r="C143" s="2">
        <v>3.28</v>
      </c>
      <c r="D143" s="2">
        <v>3269197</v>
      </c>
      <c r="E143" s="2">
        <v>5.67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 t="s">
        <v>115</v>
      </c>
      <c r="B144" s="2">
        <v>2</v>
      </c>
      <c r="C144" s="2">
        <v>0.41</v>
      </c>
      <c r="D144" s="2">
        <v>1113299</v>
      </c>
      <c r="E144" s="2">
        <v>1.93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 t="s">
        <v>116</v>
      </c>
      <c r="B145" s="2">
        <v>1</v>
      </c>
      <c r="C145" s="2">
        <v>0.2</v>
      </c>
      <c r="D145" s="2">
        <v>888720</v>
      </c>
      <c r="E145" s="2">
        <v>1.54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10" t="s">
        <v>111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11">
        <v>46143</v>
      </c>
      <c r="C150" s="2" t="s">
        <v>22</v>
      </c>
      <c r="D150" s="4">
        <v>90</v>
      </c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11">
        <v>46143</v>
      </c>
      <c r="C151" s="2" t="s">
        <v>119</v>
      </c>
      <c r="D151" s="4">
        <v>15</v>
      </c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11">
        <v>46143</v>
      </c>
      <c r="C152" s="2" t="s">
        <v>120</v>
      </c>
      <c r="D152" s="4">
        <v>0</v>
      </c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11">
        <v>46143</v>
      </c>
      <c r="C153" s="2" t="s">
        <v>121</v>
      </c>
      <c r="D153" s="4">
        <v>4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11">
        <v>46143</v>
      </c>
      <c r="C154" s="2" t="s">
        <v>122</v>
      </c>
      <c r="D154" s="4">
        <v>1420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11">
        <v>46144</v>
      </c>
      <c r="C155" s="2" t="s">
        <v>22</v>
      </c>
      <c r="D155" s="4">
        <v>64</v>
      </c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11">
        <v>46144</v>
      </c>
      <c r="C156" s="2" t="s">
        <v>119</v>
      </c>
      <c r="D156" s="4">
        <v>14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11">
        <v>46144</v>
      </c>
      <c r="C157" s="2" t="s">
        <v>120</v>
      </c>
      <c r="D157" s="4">
        <v>0</v>
      </c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11">
        <v>46144</v>
      </c>
      <c r="C158" s="2" t="s">
        <v>121</v>
      </c>
      <c r="D158" s="4">
        <v>2</v>
      </c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11">
        <v>46144</v>
      </c>
      <c r="C159" s="2" t="s">
        <v>122</v>
      </c>
      <c r="D159" s="4">
        <v>1425</v>
      </c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11">
        <v>46145</v>
      </c>
      <c r="C160" s="2" t="s">
        <v>22</v>
      </c>
      <c r="D160" s="4">
        <v>66</v>
      </c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11">
        <v>46145</v>
      </c>
      <c r="C161" s="2" t="s">
        <v>119</v>
      </c>
      <c r="D161" s="4">
        <v>12</v>
      </c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11">
        <v>46145</v>
      </c>
      <c r="C162" s="2" t="s">
        <v>120</v>
      </c>
      <c r="D162" s="4">
        <v>0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11">
        <v>46145</v>
      </c>
      <c r="C163" s="2" t="s">
        <v>121</v>
      </c>
      <c r="D163" s="4">
        <v>4</v>
      </c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11">
        <v>46145</v>
      </c>
      <c r="C164" s="2" t="s">
        <v>122</v>
      </c>
      <c r="D164" s="4">
        <v>1426</v>
      </c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11">
        <v>46146</v>
      </c>
      <c r="C165" s="2" t="s">
        <v>22</v>
      </c>
      <c r="D165" s="4">
        <v>76</v>
      </c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11">
        <v>46146</v>
      </c>
      <c r="C166" s="2" t="s">
        <v>119</v>
      </c>
      <c r="D166" s="4">
        <v>13</v>
      </c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11">
        <v>46146</v>
      </c>
      <c r="C167" s="2" t="s">
        <v>120</v>
      </c>
      <c r="D167" s="4">
        <v>0</v>
      </c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11">
        <v>46146</v>
      </c>
      <c r="C168" s="2" t="s">
        <v>121</v>
      </c>
      <c r="D168" s="4">
        <v>8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11">
        <v>46146</v>
      </c>
      <c r="C169" s="2" t="s">
        <v>122</v>
      </c>
      <c r="D169" s="4">
        <v>1429</v>
      </c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11">
        <v>46147</v>
      </c>
      <c r="C170" s="2" t="s">
        <v>22</v>
      </c>
      <c r="D170" s="4">
        <v>83</v>
      </c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11">
        <v>46147</v>
      </c>
      <c r="C171" s="2" t="s">
        <v>119</v>
      </c>
      <c r="D171" s="4">
        <v>13</v>
      </c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11">
        <v>46147</v>
      </c>
      <c r="C172" s="2" t="s">
        <v>120</v>
      </c>
      <c r="D172" s="4">
        <v>0</v>
      </c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11">
        <v>46147</v>
      </c>
      <c r="C173" s="2" t="s">
        <v>121</v>
      </c>
      <c r="D173" s="4">
        <v>14</v>
      </c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11">
        <v>46147</v>
      </c>
      <c r="C174" s="2" t="s">
        <v>122</v>
      </c>
      <c r="D174" s="4">
        <v>1430</v>
      </c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11">
        <v>46148</v>
      </c>
      <c r="C175" s="2" t="s">
        <v>22</v>
      </c>
      <c r="D175" s="4">
        <v>101</v>
      </c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11">
        <v>46148</v>
      </c>
      <c r="C176" s="2" t="s">
        <v>119</v>
      </c>
      <c r="D176" s="4">
        <v>15</v>
      </c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11">
        <v>46148</v>
      </c>
      <c r="C177" s="2" t="s">
        <v>120</v>
      </c>
      <c r="D177" s="4">
        <v>2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11">
        <v>46148</v>
      </c>
      <c r="C178" s="2" t="s">
        <v>121</v>
      </c>
      <c r="D178" s="4">
        <v>14</v>
      </c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11">
        <v>46148</v>
      </c>
      <c r="C179" s="2" t="s">
        <v>122</v>
      </c>
      <c r="D179" s="4">
        <v>1438</v>
      </c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11">
        <v>46149</v>
      </c>
      <c r="C180" s="2" t="s">
        <v>22</v>
      </c>
      <c r="D180" s="4">
        <v>115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11">
        <v>46149</v>
      </c>
      <c r="C181" s="2" t="s">
        <v>119</v>
      </c>
      <c r="D181" s="4">
        <v>20</v>
      </c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11">
        <v>46149</v>
      </c>
      <c r="C182" s="2" t="s">
        <v>120</v>
      </c>
      <c r="D182" s="4">
        <v>2</v>
      </c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11">
        <v>46149</v>
      </c>
      <c r="C183" s="2" t="s">
        <v>121</v>
      </c>
      <c r="D183" s="4">
        <v>15</v>
      </c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11">
        <v>46149</v>
      </c>
      <c r="C184" s="2" t="s">
        <v>122</v>
      </c>
      <c r="D184" s="4">
        <v>1443</v>
      </c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11">
        <v>46150</v>
      </c>
      <c r="C185" s="2" t="s">
        <v>22</v>
      </c>
      <c r="D185" s="4">
        <v>137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11">
        <v>46150</v>
      </c>
      <c r="C186" s="2" t="s">
        <v>119</v>
      </c>
      <c r="D186" s="4">
        <v>22</v>
      </c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11">
        <v>46150</v>
      </c>
      <c r="C187" s="2" t="s">
        <v>120</v>
      </c>
      <c r="D187" s="4">
        <v>3</v>
      </c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11">
        <v>46150</v>
      </c>
      <c r="C188" s="2" t="s">
        <v>121</v>
      </c>
      <c r="D188" s="4">
        <v>16</v>
      </c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11">
        <v>46150</v>
      </c>
      <c r="C189" s="2" t="s">
        <v>122</v>
      </c>
      <c r="D189" s="4">
        <v>1444</v>
      </c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11">
        <v>46151</v>
      </c>
      <c r="C190" s="2" t="s">
        <v>22</v>
      </c>
      <c r="D190" s="4">
        <v>158</v>
      </c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11">
        <v>46151</v>
      </c>
      <c r="C191" s="2" t="s">
        <v>119</v>
      </c>
      <c r="D191" s="4">
        <v>29</v>
      </c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11">
        <v>46151</v>
      </c>
      <c r="C192" s="2" t="s">
        <v>120</v>
      </c>
      <c r="D192" s="4">
        <v>3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11">
        <v>46151</v>
      </c>
      <c r="C193" s="2" t="s">
        <v>121</v>
      </c>
      <c r="D193" s="4">
        <v>18</v>
      </c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11">
        <v>46151</v>
      </c>
      <c r="C194" s="2" t="s">
        <v>122</v>
      </c>
      <c r="D194" s="4">
        <v>1448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11">
        <v>46152</v>
      </c>
      <c r="C195" s="2" t="s">
        <v>22</v>
      </c>
      <c r="D195" s="4">
        <v>167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11">
        <v>46152</v>
      </c>
      <c r="C196" s="2" t="s">
        <v>119</v>
      </c>
      <c r="D196" s="4">
        <v>35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11">
        <v>46152</v>
      </c>
      <c r="C197" s="2" t="s">
        <v>120</v>
      </c>
      <c r="D197" s="4">
        <v>3</v>
      </c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11">
        <v>46152</v>
      </c>
      <c r="C198" s="2" t="s">
        <v>121</v>
      </c>
      <c r="D198" s="4">
        <v>19</v>
      </c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11">
        <v>46152</v>
      </c>
      <c r="C199" s="2" t="s">
        <v>122</v>
      </c>
      <c r="D199" s="4">
        <v>1450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11">
        <v>46153</v>
      </c>
      <c r="C200" s="2" t="s">
        <v>22</v>
      </c>
      <c r="D200" s="4">
        <v>167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11">
        <v>46153</v>
      </c>
      <c r="C201" s="2" t="s">
        <v>119</v>
      </c>
      <c r="D201" s="4">
        <v>35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11">
        <v>46153</v>
      </c>
      <c r="C202" s="2" t="s">
        <v>120</v>
      </c>
      <c r="D202" s="4">
        <v>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11">
        <v>46153</v>
      </c>
      <c r="C203" s="2" t="s">
        <v>121</v>
      </c>
      <c r="D203" s="4">
        <v>15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11">
        <v>46153</v>
      </c>
      <c r="C204" s="2" t="s">
        <v>122</v>
      </c>
      <c r="D204" s="4">
        <v>1453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11">
        <v>46154</v>
      </c>
      <c r="C205" s="2" t="s">
        <v>22</v>
      </c>
      <c r="D205" s="4">
        <v>169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11">
        <v>46154</v>
      </c>
      <c r="C206" s="2" t="s">
        <v>119</v>
      </c>
      <c r="D206" s="4">
        <v>37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11">
        <v>46154</v>
      </c>
      <c r="C207" s="2" t="s">
        <v>120</v>
      </c>
      <c r="D207" s="4">
        <v>6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11">
        <v>46154</v>
      </c>
      <c r="C208" s="2" t="s">
        <v>121</v>
      </c>
      <c r="D208" s="4">
        <v>10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11">
        <v>46154</v>
      </c>
      <c r="C209" s="2" t="s">
        <v>122</v>
      </c>
      <c r="D209" s="4">
        <v>1457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11">
        <v>46155</v>
      </c>
      <c r="C210" s="2" t="s">
        <v>22</v>
      </c>
      <c r="D210" s="4">
        <v>167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11">
        <v>46155</v>
      </c>
      <c r="C211" s="2" t="s">
        <v>119</v>
      </c>
      <c r="D211" s="4">
        <v>44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11">
        <v>46155</v>
      </c>
      <c r="C212" s="2" t="s">
        <v>120</v>
      </c>
      <c r="D212" s="4">
        <v>6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11">
        <v>46155</v>
      </c>
      <c r="C213" s="2" t="s">
        <v>121</v>
      </c>
      <c r="D213" s="4">
        <v>13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11">
        <v>46155</v>
      </c>
      <c r="C214" s="2" t="s">
        <v>122</v>
      </c>
      <c r="D214" s="4">
        <v>1453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11">
        <v>46156</v>
      </c>
      <c r="C215" s="2" t="s">
        <v>22</v>
      </c>
      <c r="D215" s="4">
        <v>188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11">
        <v>46156</v>
      </c>
      <c r="C216" s="2" t="s">
        <v>119</v>
      </c>
      <c r="D216" s="4">
        <v>45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11">
        <v>46156</v>
      </c>
      <c r="C217" s="2" t="s">
        <v>120</v>
      </c>
      <c r="D217" s="4">
        <v>7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11">
        <v>46156</v>
      </c>
      <c r="C218" s="2" t="s">
        <v>121</v>
      </c>
      <c r="D218" s="4">
        <v>13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11">
        <v>46156</v>
      </c>
      <c r="C219" s="2" t="s">
        <v>122</v>
      </c>
      <c r="D219" s="4">
        <v>1457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11">
        <v>46157</v>
      </c>
      <c r="C220" s="2" t="s">
        <v>22</v>
      </c>
      <c r="D220" s="4">
        <v>205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11">
        <v>46157</v>
      </c>
      <c r="C221" s="2" t="s">
        <v>119</v>
      </c>
      <c r="D221" s="4">
        <v>54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11">
        <v>46157</v>
      </c>
      <c r="C222" s="2" t="s">
        <v>120</v>
      </c>
      <c r="D222" s="4">
        <v>7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11">
        <v>46157</v>
      </c>
      <c r="C223" s="2" t="s">
        <v>121</v>
      </c>
      <c r="D223" s="4">
        <v>14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11">
        <v>46157</v>
      </c>
      <c r="C224" s="2" t="s">
        <v>122</v>
      </c>
      <c r="D224" s="4">
        <v>1459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11">
        <v>46158</v>
      </c>
      <c r="C225" s="2" t="s">
        <v>22</v>
      </c>
      <c r="D225" s="4">
        <v>196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11">
        <v>46158</v>
      </c>
      <c r="C226" s="2" t="s">
        <v>119</v>
      </c>
      <c r="D226" s="4">
        <v>49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11">
        <v>46158</v>
      </c>
      <c r="C227" s="2" t="s">
        <v>120</v>
      </c>
      <c r="D227" s="4">
        <v>7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11">
        <v>46158</v>
      </c>
      <c r="C228" s="2" t="s">
        <v>121</v>
      </c>
      <c r="D228" s="4">
        <v>11</v>
      </c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11">
        <v>46158</v>
      </c>
      <c r="C229" s="2" t="s">
        <v>122</v>
      </c>
      <c r="D229" s="4">
        <v>1464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11">
        <v>46159</v>
      </c>
      <c r="C230" s="2" t="s">
        <v>22</v>
      </c>
      <c r="D230" s="4">
        <v>193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11">
        <v>46159</v>
      </c>
      <c r="C231" s="2" t="s">
        <v>119</v>
      </c>
      <c r="D231" s="4">
        <v>47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11">
        <v>46159</v>
      </c>
      <c r="C232" s="2" t="s">
        <v>120</v>
      </c>
      <c r="D232" s="4">
        <v>7</v>
      </c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11">
        <v>46159</v>
      </c>
      <c r="C233" s="2" t="s">
        <v>121</v>
      </c>
      <c r="D233" s="4">
        <v>9</v>
      </c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11">
        <v>46159</v>
      </c>
      <c r="C234" s="2" t="s">
        <v>122</v>
      </c>
      <c r="D234" s="4">
        <v>1468</v>
      </c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10" t="s">
        <v>123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10" t="s">
        <v>21</v>
      </c>
      <c r="C238" s="10" t="s">
        <v>124</v>
      </c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11">
        <v>46143</v>
      </c>
      <c r="C239" s="2">
        <v>38.380000000000003</v>
      </c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11">
        <v>46144</v>
      </c>
      <c r="C240" s="2">
        <v>38.369999999999997</v>
      </c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11">
        <v>46145</v>
      </c>
      <c r="C241" s="2">
        <v>38.36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11">
        <v>46146</v>
      </c>
      <c r="C242" s="2">
        <v>38.61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11">
        <v>46147</v>
      </c>
      <c r="C243" s="2">
        <v>38.729999999999997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11">
        <v>46148</v>
      </c>
      <c r="C244" s="2">
        <v>38.76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11">
        <v>46149</v>
      </c>
      <c r="C245" s="2">
        <v>38.94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11">
        <v>46150</v>
      </c>
      <c r="C246" s="2">
        <v>39.020000000000003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11">
        <v>46151</v>
      </c>
      <c r="C247" s="2">
        <v>39.270000000000003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11">
        <v>46152</v>
      </c>
      <c r="C248" s="2">
        <v>39.47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11">
        <v>46153</v>
      </c>
      <c r="C249" s="2">
        <v>39.64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11">
        <v>46154</v>
      </c>
      <c r="C250" s="2">
        <v>39.67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11">
        <v>46155</v>
      </c>
      <c r="C251" s="2">
        <v>39.840000000000003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11">
        <v>46156</v>
      </c>
      <c r="C252" s="2">
        <v>39.9</v>
      </c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11">
        <v>46157</v>
      </c>
      <c r="C253" s="2">
        <v>39.950000000000003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11">
        <v>46158</v>
      </c>
      <c r="C254" s="2">
        <v>40.130000000000003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11">
        <v>46159</v>
      </c>
      <c r="C255" s="2">
        <v>40.1</v>
      </c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5" t="s">
        <v>125</v>
      </c>
      <c r="C256" s="25"/>
      <c r="D256" s="25"/>
      <c r="E256" s="25"/>
      <c r="F256" s="25"/>
      <c r="G256" s="25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12" t="s">
        <v>125</v>
      </c>
      <c r="C257" s="12" t="s">
        <v>126</v>
      </c>
      <c r="D257" s="12" t="s">
        <v>127</v>
      </c>
      <c r="E257" s="12" t="s">
        <v>128</v>
      </c>
      <c r="F257" s="12" t="s">
        <v>51</v>
      </c>
      <c r="G257" s="12" t="s">
        <v>129</v>
      </c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12" t="s">
        <v>130</v>
      </c>
      <c r="C258" s="13" t="s">
        <v>131</v>
      </c>
      <c r="D258" s="13">
        <v>486</v>
      </c>
      <c r="E258" s="14">
        <v>0.48599999999999999</v>
      </c>
      <c r="F258" s="13" t="s">
        <v>132</v>
      </c>
      <c r="G258" s="14">
        <v>0.14199999999999999</v>
      </c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12" t="s">
        <v>133</v>
      </c>
      <c r="C259" s="13" t="s">
        <v>134</v>
      </c>
      <c r="D259" s="13">
        <v>268</v>
      </c>
      <c r="E259" s="14">
        <v>0.26800000000000002</v>
      </c>
      <c r="F259" s="13" t="s">
        <v>135</v>
      </c>
      <c r="G259" s="14">
        <v>0.23400000000000001</v>
      </c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12" t="s">
        <v>136</v>
      </c>
      <c r="C260" s="13" t="s">
        <v>137</v>
      </c>
      <c r="D260" s="13">
        <v>151</v>
      </c>
      <c r="E260" s="14">
        <v>0.151</v>
      </c>
      <c r="F260" s="13" t="s">
        <v>138</v>
      </c>
      <c r="G260" s="14">
        <v>0.26600000000000001</v>
      </c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12" t="s">
        <v>116</v>
      </c>
      <c r="C261" s="13" t="s">
        <v>139</v>
      </c>
      <c r="D261" s="13">
        <v>95</v>
      </c>
      <c r="E261" s="14">
        <v>9.5000000000000001E-2</v>
      </c>
      <c r="F261" s="13" t="s">
        <v>140</v>
      </c>
      <c r="G261" s="14">
        <v>0.35799999999999998</v>
      </c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12" t="s">
        <v>141</v>
      </c>
      <c r="D262" s="15">
        <v>1000</v>
      </c>
      <c r="E262" s="16">
        <v>1</v>
      </c>
      <c r="F262" s="12" t="s">
        <v>142</v>
      </c>
      <c r="G262" s="16">
        <v>1</v>
      </c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2" t="s">
        <v>153</v>
      </c>
      <c r="C264" s="20"/>
      <c r="D264" s="20"/>
      <c r="E264" s="20"/>
      <c r="F264" s="20"/>
      <c r="G264" s="20"/>
      <c r="H264" s="20"/>
      <c r="I264" s="20"/>
      <c r="J264" s="20"/>
      <c r="K264" s="20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17" t="s">
        <v>143</v>
      </c>
      <c r="C265" s="17" t="s">
        <v>144</v>
      </c>
      <c r="D265" s="17" t="s">
        <v>145</v>
      </c>
      <c r="E265" s="17" t="s">
        <v>146</v>
      </c>
      <c r="F265" s="17" t="s">
        <v>147</v>
      </c>
      <c r="G265" s="17" t="s">
        <v>148</v>
      </c>
      <c r="H265" s="17" t="s">
        <v>149</v>
      </c>
      <c r="I265" s="17" t="s">
        <v>150</v>
      </c>
      <c r="J265" s="17" t="s">
        <v>151</v>
      </c>
      <c r="K265" s="17" t="s">
        <v>152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18">
        <v>46230</v>
      </c>
      <c r="C266" s="19">
        <v>28</v>
      </c>
      <c r="D266" s="19">
        <v>4</v>
      </c>
      <c r="E266" s="19">
        <v>32</v>
      </c>
      <c r="F266" s="19">
        <v>28</v>
      </c>
      <c r="G266" s="19">
        <v>4</v>
      </c>
      <c r="H266" s="19">
        <v>32</v>
      </c>
      <c r="I266" s="19">
        <v>2413802</v>
      </c>
      <c r="J266" s="19">
        <v>381800</v>
      </c>
      <c r="K266" s="19">
        <v>2795602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18">
        <v>46231</v>
      </c>
      <c r="C267" s="19">
        <v>28</v>
      </c>
      <c r="D267" s="19">
        <v>2</v>
      </c>
      <c r="E267" s="19">
        <v>30</v>
      </c>
      <c r="F267" s="19">
        <v>28</v>
      </c>
      <c r="G267" s="19">
        <v>2</v>
      </c>
      <c r="H267" s="19">
        <v>30</v>
      </c>
      <c r="I267" s="19">
        <v>3303124</v>
      </c>
      <c r="J267" s="19">
        <v>462139</v>
      </c>
      <c r="K267" s="19">
        <v>3765263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18">
        <v>46232</v>
      </c>
      <c r="C268" s="19">
        <v>29</v>
      </c>
      <c r="D268" s="19">
        <v>5</v>
      </c>
      <c r="E268" s="19">
        <v>34</v>
      </c>
      <c r="F268" s="19">
        <v>29</v>
      </c>
      <c r="G268" s="19">
        <v>5</v>
      </c>
      <c r="H268" s="19">
        <v>34</v>
      </c>
      <c r="I268" s="19">
        <v>4169668</v>
      </c>
      <c r="J268" s="19">
        <v>615917</v>
      </c>
      <c r="K268" s="19">
        <v>4785585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18">
        <v>46233</v>
      </c>
      <c r="C269" s="19">
        <v>12</v>
      </c>
      <c r="D269" s="19">
        <v>1</v>
      </c>
      <c r="E269" s="19">
        <v>13</v>
      </c>
      <c r="F269" s="19">
        <v>12</v>
      </c>
      <c r="G269" s="19">
        <v>1</v>
      </c>
      <c r="H269" s="19">
        <v>13</v>
      </c>
      <c r="I269" s="19">
        <v>1249710</v>
      </c>
      <c r="J269" s="19">
        <v>106460</v>
      </c>
      <c r="K269" s="19">
        <v>1356170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18">
        <v>46234</v>
      </c>
      <c r="C270" s="19">
        <v>7</v>
      </c>
      <c r="D270" s="19">
        <v>2</v>
      </c>
      <c r="E270" s="19">
        <v>9</v>
      </c>
      <c r="F270" s="19">
        <v>7</v>
      </c>
      <c r="G270" s="19">
        <v>2</v>
      </c>
      <c r="H270" s="19">
        <v>9</v>
      </c>
      <c r="I270" s="19">
        <v>1282460</v>
      </c>
      <c r="J270" s="19">
        <v>556004</v>
      </c>
      <c r="K270" s="19">
        <v>1838464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18">
        <v>46235</v>
      </c>
      <c r="C271" s="19">
        <v>3</v>
      </c>
      <c r="D271" s="19">
        <v>1</v>
      </c>
      <c r="E271" s="19">
        <v>4</v>
      </c>
      <c r="F271" s="19">
        <v>3</v>
      </c>
      <c r="G271" s="19">
        <v>1</v>
      </c>
      <c r="H271" s="19">
        <v>4</v>
      </c>
      <c r="I271" s="19">
        <v>325267</v>
      </c>
      <c r="J271" s="19">
        <v>46640</v>
      </c>
      <c r="K271" s="19">
        <v>371907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18">
        <v>46236</v>
      </c>
      <c r="C272" s="19">
        <v>0</v>
      </c>
      <c r="D272" s="19">
        <v>0</v>
      </c>
      <c r="E272" s="19">
        <v>0</v>
      </c>
      <c r="F272" s="19">
        <v>0</v>
      </c>
      <c r="G272" s="19">
        <v>0</v>
      </c>
      <c r="H272" s="19">
        <v>0</v>
      </c>
      <c r="I272" s="19">
        <v>0</v>
      </c>
      <c r="J272" s="19">
        <v>0</v>
      </c>
      <c r="K272" s="19">
        <v>0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18"/>
      <c r="C273" s="19"/>
      <c r="D273" s="19"/>
      <c r="E273" s="19"/>
      <c r="F273" s="19"/>
      <c r="G273" s="19"/>
      <c r="H273" s="19"/>
      <c r="I273" s="19"/>
      <c r="J273" s="19"/>
      <c r="K273" s="19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2" t="s">
        <v>15</v>
      </c>
      <c r="C274" s="20"/>
      <c r="D274" s="20"/>
      <c r="E274" s="20"/>
      <c r="F274" s="20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17" t="s">
        <v>154</v>
      </c>
      <c r="C275" s="17" t="s">
        <v>155</v>
      </c>
      <c r="D275" s="17" t="s">
        <v>156</v>
      </c>
      <c r="E275" s="17" t="s">
        <v>157</v>
      </c>
      <c r="F275" s="17" t="s">
        <v>158</v>
      </c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17" t="s">
        <v>52</v>
      </c>
      <c r="C276" s="19">
        <v>9</v>
      </c>
      <c r="D276" s="19">
        <v>22.5</v>
      </c>
      <c r="E276" s="19">
        <v>3749246</v>
      </c>
      <c r="F276" s="19">
        <v>50.31</v>
      </c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17" t="s">
        <v>53</v>
      </c>
      <c r="C277" s="19">
        <v>7</v>
      </c>
      <c r="D277" s="19">
        <v>17.5</v>
      </c>
      <c r="E277" s="19">
        <v>1000619</v>
      </c>
      <c r="F277" s="19">
        <v>13.43</v>
      </c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17" t="s">
        <v>56</v>
      </c>
      <c r="C278" s="19">
        <v>6</v>
      </c>
      <c r="D278" s="19">
        <v>15</v>
      </c>
      <c r="E278" s="19">
        <v>649164</v>
      </c>
      <c r="F278" s="19">
        <v>8.7100000000000009</v>
      </c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17" t="s">
        <v>59</v>
      </c>
      <c r="C279" s="19">
        <v>6</v>
      </c>
      <c r="D279" s="19">
        <v>15</v>
      </c>
      <c r="E279" s="19">
        <v>586993</v>
      </c>
      <c r="F279" s="19">
        <v>7.88</v>
      </c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17" t="s">
        <v>57</v>
      </c>
      <c r="C280" s="19">
        <v>3</v>
      </c>
      <c r="D280" s="19">
        <v>7.5</v>
      </c>
      <c r="E280" s="19">
        <v>455923</v>
      </c>
      <c r="F280" s="19">
        <v>6.12</v>
      </c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17" t="s">
        <v>55</v>
      </c>
      <c r="C281" s="19">
        <v>4</v>
      </c>
      <c r="D281" s="19">
        <v>10</v>
      </c>
      <c r="E281" s="19">
        <v>378219</v>
      </c>
      <c r="F281" s="19">
        <v>5.08</v>
      </c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17" t="s">
        <v>58</v>
      </c>
      <c r="C282" s="19">
        <v>2</v>
      </c>
      <c r="D282" s="19">
        <v>5</v>
      </c>
      <c r="E282" s="19">
        <v>233510</v>
      </c>
      <c r="F282" s="19">
        <v>3.13</v>
      </c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17" t="s">
        <v>54</v>
      </c>
      <c r="C283" s="19">
        <v>2</v>
      </c>
      <c r="D283" s="19">
        <v>5</v>
      </c>
      <c r="E283" s="19">
        <v>227982</v>
      </c>
      <c r="F283" s="19">
        <v>3.06</v>
      </c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17" t="s">
        <v>61</v>
      </c>
      <c r="C284" s="19">
        <v>1</v>
      </c>
      <c r="D284" s="19">
        <v>2.5</v>
      </c>
      <c r="E284" s="19">
        <v>170320</v>
      </c>
      <c r="F284" s="19">
        <v>2.29</v>
      </c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2" t="s">
        <v>166</v>
      </c>
      <c r="C287" s="20"/>
      <c r="D287" s="20"/>
      <c r="E287" s="20"/>
      <c r="F287" s="20"/>
      <c r="G287" s="20"/>
      <c r="H287" s="20"/>
      <c r="I287" s="20"/>
      <c r="J287" s="20"/>
      <c r="K287" s="20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17" t="s">
        <v>167</v>
      </c>
      <c r="C288" s="17" t="s">
        <v>159</v>
      </c>
      <c r="D288" s="17" t="s">
        <v>146</v>
      </c>
      <c r="E288" s="17" t="s">
        <v>160</v>
      </c>
      <c r="F288" s="17" t="s">
        <v>149</v>
      </c>
      <c r="G288" s="17" t="s">
        <v>152</v>
      </c>
      <c r="H288" s="17" t="s">
        <v>161</v>
      </c>
      <c r="I288" s="17" t="s">
        <v>162</v>
      </c>
      <c r="J288" s="17" t="s">
        <v>163</v>
      </c>
      <c r="K288" s="17" t="s">
        <v>164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18">
        <v>46230</v>
      </c>
      <c r="C289" s="19" t="s">
        <v>116</v>
      </c>
      <c r="D289" s="19">
        <v>26</v>
      </c>
      <c r="E289" s="19">
        <v>11.11</v>
      </c>
      <c r="F289" s="19">
        <v>28</v>
      </c>
      <c r="G289" s="19">
        <v>3748727</v>
      </c>
      <c r="H289" s="19">
        <v>13.84</v>
      </c>
      <c r="I289" s="19">
        <v>1.04</v>
      </c>
      <c r="J289" s="19">
        <v>1.42</v>
      </c>
      <c r="K289" s="19">
        <v>180594.85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18">
        <v>46230</v>
      </c>
      <c r="C290" s="19" t="s">
        <v>136</v>
      </c>
      <c r="D290" s="19">
        <v>29</v>
      </c>
      <c r="E290" s="19">
        <v>12.39</v>
      </c>
      <c r="F290" s="19">
        <v>29</v>
      </c>
      <c r="G290" s="19">
        <v>6953013</v>
      </c>
      <c r="H290" s="19">
        <v>25.67</v>
      </c>
      <c r="I290" s="19">
        <v>2</v>
      </c>
      <c r="J290" s="19">
        <v>1.24</v>
      </c>
      <c r="K290" s="19">
        <v>258966.93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18">
        <v>46230</v>
      </c>
      <c r="C291" s="19" t="s">
        <v>165</v>
      </c>
      <c r="D291" s="19">
        <v>56</v>
      </c>
      <c r="E291" s="19">
        <v>23.93</v>
      </c>
      <c r="F291" s="19">
        <v>57</v>
      </c>
      <c r="G291" s="19">
        <v>3588440</v>
      </c>
      <c r="H291" s="19">
        <v>13.25</v>
      </c>
      <c r="I291" s="19">
        <v>0.77</v>
      </c>
      <c r="J291" s="19">
        <v>1.02</v>
      </c>
      <c r="K291" s="19">
        <v>64079.29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18">
        <v>46230</v>
      </c>
      <c r="C292" s="19" t="s">
        <v>130</v>
      </c>
      <c r="D292" s="19">
        <v>123</v>
      </c>
      <c r="E292" s="19">
        <v>52.56</v>
      </c>
      <c r="F292" s="19">
        <v>123</v>
      </c>
      <c r="G292" s="19">
        <v>12793257</v>
      </c>
      <c r="H292" s="19">
        <v>47.24</v>
      </c>
      <c r="I292" s="19">
        <v>4.37</v>
      </c>
      <c r="J292" s="19">
        <v>1.24</v>
      </c>
      <c r="K292" s="19">
        <v>137730.28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18">
        <v>46231</v>
      </c>
      <c r="C293" s="19" t="s">
        <v>116</v>
      </c>
      <c r="D293" s="19">
        <v>28</v>
      </c>
      <c r="E293" s="19">
        <v>11.86</v>
      </c>
      <c r="F293" s="19">
        <v>30</v>
      </c>
      <c r="G293" s="19">
        <v>4313780</v>
      </c>
      <c r="H293" s="19">
        <v>16.22</v>
      </c>
      <c r="I293" s="19">
        <v>0.96</v>
      </c>
      <c r="J293" s="19">
        <v>1.25</v>
      </c>
      <c r="K293" s="19">
        <v>177533.54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18">
        <v>46231</v>
      </c>
      <c r="C294" s="19" t="s">
        <v>136</v>
      </c>
      <c r="D294" s="19">
        <v>34</v>
      </c>
      <c r="E294" s="19">
        <v>14.41</v>
      </c>
      <c r="F294" s="19">
        <v>34</v>
      </c>
      <c r="G294" s="19">
        <v>7209305</v>
      </c>
      <c r="H294" s="19">
        <v>27.11</v>
      </c>
      <c r="I294" s="19">
        <v>2.38</v>
      </c>
      <c r="J294" s="19">
        <v>1.35</v>
      </c>
      <c r="K294" s="19">
        <v>244556.26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18">
        <v>46231</v>
      </c>
      <c r="C295" s="19" t="s">
        <v>165</v>
      </c>
      <c r="D295" s="19">
        <v>58</v>
      </c>
      <c r="E295" s="19">
        <v>24.58</v>
      </c>
      <c r="F295" s="19">
        <v>59</v>
      </c>
      <c r="G295" s="19">
        <v>3724296</v>
      </c>
      <c r="H295" s="19">
        <v>14</v>
      </c>
      <c r="I295" s="19">
        <v>1.05</v>
      </c>
      <c r="J295" s="19">
        <v>1.02</v>
      </c>
      <c r="K295" s="19">
        <v>64212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18">
        <v>46231</v>
      </c>
      <c r="C296" s="19" t="s">
        <v>130</v>
      </c>
      <c r="D296" s="19">
        <v>116</v>
      </c>
      <c r="E296" s="19">
        <v>49.15</v>
      </c>
      <c r="F296" s="19">
        <v>116</v>
      </c>
      <c r="G296" s="19">
        <v>11350179</v>
      </c>
      <c r="H296" s="19">
        <v>42.67</v>
      </c>
      <c r="I296" s="19">
        <v>4.6100000000000003</v>
      </c>
      <c r="J296" s="19">
        <v>1.17</v>
      </c>
      <c r="K296" s="19">
        <v>122884.03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18">
        <v>46232</v>
      </c>
      <c r="C297" s="19" t="s">
        <v>116</v>
      </c>
      <c r="D297" s="19">
        <v>25</v>
      </c>
      <c r="E297" s="19">
        <v>10.46</v>
      </c>
      <c r="F297" s="19">
        <v>27</v>
      </c>
      <c r="G297" s="19">
        <v>3833837</v>
      </c>
      <c r="H297" s="19">
        <v>13.33</v>
      </c>
      <c r="I297" s="19">
        <v>0.88</v>
      </c>
      <c r="J297" s="19">
        <v>1.28</v>
      </c>
      <c r="K297" s="19">
        <v>177890.44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18">
        <v>46232</v>
      </c>
      <c r="C298" s="19" t="s">
        <v>136</v>
      </c>
      <c r="D298" s="19">
        <v>29</v>
      </c>
      <c r="E298" s="19">
        <v>12.13</v>
      </c>
      <c r="F298" s="19">
        <v>29</v>
      </c>
      <c r="G298" s="19">
        <v>7122117</v>
      </c>
      <c r="H298" s="19">
        <v>24.76</v>
      </c>
      <c r="I298" s="19">
        <v>2.14</v>
      </c>
      <c r="J298" s="19">
        <v>1.1000000000000001</v>
      </c>
      <c r="K298" s="19">
        <v>257616.72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18">
        <v>46232</v>
      </c>
      <c r="C299" s="19" t="s">
        <v>165</v>
      </c>
      <c r="D299" s="19">
        <v>60</v>
      </c>
      <c r="E299" s="19">
        <v>25.1</v>
      </c>
      <c r="F299" s="19">
        <v>61</v>
      </c>
      <c r="G299" s="19">
        <v>3792882</v>
      </c>
      <c r="H299" s="19">
        <v>13.18</v>
      </c>
      <c r="I299" s="19">
        <v>1.08</v>
      </c>
      <c r="J299" s="19">
        <v>1.05</v>
      </c>
      <c r="K299" s="19">
        <v>63986.65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18">
        <v>46232</v>
      </c>
      <c r="C300" s="19" t="s">
        <v>130</v>
      </c>
      <c r="D300" s="19">
        <v>125</v>
      </c>
      <c r="E300" s="19">
        <v>52.3</v>
      </c>
      <c r="F300" s="19">
        <v>125</v>
      </c>
      <c r="G300" s="19">
        <v>14019341</v>
      </c>
      <c r="H300" s="19">
        <v>48.73</v>
      </c>
      <c r="I300" s="19">
        <v>4.59</v>
      </c>
      <c r="J300" s="19">
        <v>1.18</v>
      </c>
      <c r="K300" s="19">
        <v>134885.6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18">
        <v>46233</v>
      </c>
      <c r="C301" s="19" t="s">
        <v>116</v>
      </c>
      <c r="D301" s="19">
        <v>22</v>
      </c>
      <c r="E301" s="19">
        <v>9.9499999999999993</v>
      </c>
      <c r="F301" s="19">
        <v>22</v>
      </c>
      <c r="G301" s="19">
        <v>3443999</v>
      </c>
      <c r="H301" s="19">
        <v>12.8</v>
      </c>
      <c r="I301" s="19">
        <v>1.36</v>
      </c>
      <c r="J301" s="19">
        <v>1.18</v>
      </c>
      <c r="K301" s="19">
        <v>179934.73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18">
        <v>46233</v>
      </c>
      <c r="C302" s="19" t="s">
        <v>136</v>
      </c>
      <c r="D302" s="19">
        <v>29</v>
      </c>
      <c r="E302" s="19">
        <v>13.12</v>
      </c>
      <c r="F302" s="19">
        <v>31</v>
      </c>
      <c r="G302" s="19">
        <v>7106763</v>
      </c>
      <c r="H302" s="19">
        <v>26.42</v>
      </c>
      <c r="I302" s="19">
        <v>2.86</v>
      </c>
      <c r="J302" s="19">
        <v>1.1399999999999999</v>
      </c>
      <c r="K302" s="19">
        <v>251721.45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18">
        <v>46233</v>
      </c>
      <c r="C303" s="19" t="s">
        <v>165</v>
      </c>
      <c r="D303" s="19">
        <v>58</v>
      </c>
      <c r="E303" s="19">
        <v>26.24</v>
      </c>
      <c r="F303" s="19">
        <v>58</v>
      </c>
      <c r="G303" s="19">
        <v>3570376</v>
      </c>
      <c r="H303" s="19">
        <v>13.27</v>
      </c>
      <c r="I303" s="19">
        <v>1.53</v>
      </c>
      <c r="J303" s="19">
        <v>1.03</v>
      </c>
      <c r="K303" s="19">
        <v>62356.78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18">
        <v>46233</v>
      </c>
      <c r="C304" s="19" t="s">
        <v>130</v>
      </c>
      <c r="D304" s="19">
        <v>112</v>
      </c>
      <c r="E304" s="19">
        <v>50.68</v>
      </c>
      <c r="F304" s="19">
        <v>112</v>
      </c>
      <c r="G304" s="19">
        <v>12781586</v>
      </c>
      <c r="H304" s="19">
        <v>47.51</v>
      </c>
      <c r="I304" s="19">
        <v>4.8499999999999996</v>
      </c>
      <c r="J304" s="19">
        <v>1.19</v>
      </c>
      <c r="K304" s="19">
        <v>137551.38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18">
        <v>46234</v>
      </c>
      <c r="C305" s="19" t="s">
        <v>116</v>
      </c>
      <c r="D305" s="19">
        <v>19</v>
      </c>
      <c r="E305" s="19">
        <v>9.69</v>
      </c>
      <c r="F305" s="19">
        <v>19</v>
      </c>
      <c r="G305" s="19">
        <v>3302523</v>
      </c>
      <c r="H305" s="19">
        <v>13.41</v>
      </c>
      <c r="I305" s="19">
        <v>1.58</v>
      </c>
      <c r="J305" s="19">
        <v>1.1599999999999999</v>
      </c>
      <c r="K305" s="19">
        <v>198558.32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18">
        <v>46234</v>
      </c>
      <c r="C306" s="19" t="s">
        <v>136</v>
      </c>
      <c r="D306" s="19">
        <v>23</v>
      </c>
      <c r="E306" s="19">
        <v>11.73</v>
      </c>
      <c r="F306" s="19">
        <v>25</v>
      </c>
      <c r="G306" s="19">
        <v>5533319</v>
      </c>
      <c r="H306" s="19">
        <v>22.46</v>
      </c>
      <c r="I306" s="19">
        <v>2.96</v>
      </c>
      <c r="J306" s="19">
        <v>1.22</v>
      </c>
      <c r="K306" s="19">
        <v>259833.83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18">
        <v>46234</v>
      </c>
      <c r="C307" s="19" t="s">
        <v>165</v>
      </c>
      <c r="D307" s="19">
        <v>52</v>
      </c>
      <c r="E307" s="19">
        <v>26.53</v>
      </c>
      <c r="F307" s="19">
        <v>52</v>
      </c>
      <c r="G307" s="19">
        <v>4449851</v>
      </c>
      <c r="H307" s="19">
        <v>18.059999999999999</v>
      </c>
      <c r="I307" s="19">
        <v>2.02</v>
      </c>
      <c r="J307" s="19">
        <v>1.04</v>
      </c>
      <c r="K307" s="19">
        <v>86464.77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18">
        <v>46234</v>
      </c>
      <c r="C308" s="19" t="s">
        <v>130</v>
      </c>
      <c r="D308" s="19">
        <v>102</v>
      </c>
      <c r="E308" s="19">
        <v>52.04</v>
      </c>
      <c r="F308" s="19">
        <v>102</v>
      </c>
      <c r="G308" s="19">
        <v>11347882</v>
      </c>
      <c r="H308" s="19">
        <v>46.07</v>
      </c>
      <c r="I308" s="19">
        <v>5.15</v>
      </c>
      <c r="J308" s="19">
        <v>1.1499999999999999</v>
      </c>
      <c r="K308" s="19">
        <v>124458.73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18">
        <v>46235</v>
      </c>
      <c r="C309" s="19" t="s">
        <v>116</v>
      </c>
      <c r="D309" s="19">
        <v>18</v>
      </c>
      <c r="E309" s="19">
        <v>11.18</v>
      </c>
      <c r="F309" s="19">
        <v>18</v>
      </c>
      <c r="G309" s="19">
        <v>3123684</v>
      </c>
      <c r="H309" s="19">
        <v>15.83</v>
      </c>
      <c r="I309" s="19">
        <v>2.17</v>
      </c>
      <c r="J309" s="19">
        <v>1.17</v>
      </c>
      <c r="K309" s="19">
        <v>199653.83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18">
        <v>46235</v>
      </c>
      <c r="C310" s="19" t="s">
        <v>136</v>
      </c>
      <c r="D310" s="19">
        <v>19</v>
      </c>
      <c r="E310" s="19">
        <v>11.8</v>
      </c>
      <c r="F310" s="19">
        <v>19</v>
      </c>
      <c r="G310" s="19">
        <v>4562138</v>
      </c>
      <c r="H310" s="19">
        <v>23.12</v>
      </c>
      <c r="I310" s="19">
        <v>3.53</v>
      </c>
      <c r="J310" s="19">
        <v>1.1100000000000001</v>
      </c>
      <c r="K310" s="19">
        <v>258217.79</v>
      </c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18">
        <v>46235</v>
      </c>
      <c r="C311" s="19" t="s">
        <v>165</v>
      </c>
      <c r="D311" s="19">
        <v>41</v>
      </c>
      <c r="E311" s="19">
        <v>25.47</v>
      </c>
      <c r="F311" s="19">
        <v>41</v>
      </c>
      <c r="G311" s="19">
        <v>3408463</v>
      </c>
      <c r="H311" s="19">
        <v>17.28</v>
      </c>
      <c r="I311" s="19">
        <v>2.5099999999999998</v>
      </c>
      <c r="J311" s="19">
        <v>1.05</v>
      </c>
      <c r="K311" s="19">
        <v>84262.93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18">
        <v>46235</v>
      </c>
      <c r="C312" s="19" t="s">
        <v>130</v>
      </c>
      <c r="D312" s="19">
        <v>83</v>
      </c>
      <c r="E312" s="19">
        <v>51.55</v>
      </c>
      <c r="F312" s="19">
        <v>84</v>
      </c>
      <c r="G312" s="19">
        <v>8634370</v>
      </c>
      <c r="H312" s="19">
        <v>43.77</v>
      </c>
      <c r="I312" s="19">
        <v>5.33</v>
      </c>
      <c r="J312" s="19">
        <v>1.07</v>
      </c>
      <c r="K312" s="19">
        <v>108809.16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18">
        <v>46236</v>
      </c>
      <c r="C313" s="19" t="s">
        <v>116</v>
      </c>
      <c r="D313" s="19">
        <v>10</v>
      </c>
      <c r="E313" s="19">
        <v>8.1999999999999993</v>
      </c>
      <c r="F313" s="19">
        <v>10</v>
      </c>
      <c r="G313" s="19">
        <v>1914496</v>
      </c>
      <c r="H313" s="19">
        <v>12.84</v>
      </c>
      <c r="I313" s="19">
        <v>2.5</v>
      </c>
      <c r="J313" s="19">
        <v>1.1000000000000001</v>
      </c>
      <c r="K313" s="19">
        <v>221401.60000000001</v>
      </c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18">
        <v>46236</v>
      </c>
      <c r="C314" s="19" t="s">
        <v>136</v>
      </c>
      <c r="D314" s="19">
        <v>22</v>
      </c>
      <c r="E314" s="19">
        <v>18.03</v>
      </c>
      <c r="F314" s="19">
        <v>22</v>
      </c>
      <c r="G314" s="19">
        <v>4933640</v>
      </c>
      <c r="H314" s="19">
        <v>33.08</v>
      </c>
      <c r="I314" s="19">
        <v>4.2300000000000004</v>
      </c>
      <c r="J314" s="19">
        <v>1.1399999999999999</v>
      </c>
      <c r="K314" s="19">
        <v>241245.68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18">
        <v>46236</v>
      </c>
      <c r="C315" s="19" t="s">
        <v>165</v>
      </c>
      <c r="D315" s="19">
        <v>34</v>
      </c>
      <c r="E315" s="19">
        <v>27.87</v>
      </c>
      <c r="F315" s="19">
        <v>34</v>
      </c>
      <c r="G315" s="19">
        <v>3117182</v>
      </c>
      <c r="H315" s="19">
        <v>20.9</v>
      </c>
      <c r="I315" s="19">
        <v>3.26</v>
      </c>
      <c r="J315" s="19">
        <v>1</v>
      </c>
      <c r="K315" s="19">
        <v>91681.82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18">
        <v>46236</v>
      </c>
      <c r="C316" s="19" t="s">
        <v>130</v>
      </c>
      <c r="D316" s="19">
        <v>56</v>
      </c>
      <c r="E316" s="19">
        <v>45.9</v>
      </c>
      <c r="F316" s="19">
        <v>56</v>
      </c>
      <c r="G316" s="19">
        <v>4947673</v>
      </c>
      <c r="H316" s="19">
        <v>33.18</v>
      </c>
      <c r="I316" s="19">
        <v>5.54</v>
      </c>
      <c r="J316" s="19">
        <v>1.1299999999999999</v>
      </c>
      <c r="K316" s="19">
        <v>96185.5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18"/>
      <c r="C317" s="19"/>
      <c r="D317" s="19"/>
      <c r="E317" s="19"/>
      <c r="F317" s="19"/>
      <c r="G317" s="19"/>
      <c r="H317" s="19"/>
      <c r="I317" s="19"/>
      <c r="J317" s="19"/>
      <c r="K317" s="19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6" t="s">
        <v>183</v>
      </c>
      <c r="C318" s="26"/>
      <c r="D318" s="26"/>
      <c r="E318" s="26"/>
      <c r="F318" s="26"/>
      <c r="G318" s="26"/>
      <c r="H318" s="26"/>
      <c r="I318" s="26"/>
      <c r="J318" s="26"/>
      <c r="K318" s="26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18"/>
      <c r="C319" s="19"/>
      <c r="D319" s="19"/>
      <c r="E319" s="19"/>
      <c r="F319" s="19"/>
      <c r="G319" s="19"/>
      <c r="H319" s="19"/>
      <c r="I319" s="19"/>
      <c r="J319" s="19"/>
      <c r="K319" s="19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17" t="s">
        <v>143</v>
      </c>
      <c r="C320" s="17" t="s">
        <v>146</v>
      </c>
      <c r="D320" s="17" t="s">
        <v>144</v>
      </c>
      <c r="E320" s="17" t="s">
        <v>145</v>
      </c>
      <c r="F320" s="17" t="s">
        <v>152</v>
      </c>
      <c r="G320" s="17" t="s">
        <v>150</v>
      </c>
      <c r="H320" s="17" t="s">
        <v>151</v>
      </c>
      <c r="I320" s="17" t="s">
        <v>168</v>
      </c>
      <c r="J320" s="17" t="s">
        <v>169</v>
      </c>
      <c r="K320" s="19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18">
        <v>46230</v>
      </c>
      <c r="C321" s="19">
        <v>32</v>
      </c>
      <c r="D321" s="19">
        <v>28</v>
      </c>
      <c r="E321" s="19">
        <v>4</v>
      </c>
      <c r="F321" s="19">
        <v>2795602</v>
      </c>
      <c r="G321" s="19">
        <v>2413802</v>
      </c>
      <c r="H321" s="19">
        <v>381800</v>
      </c>
      <c r="I321" s="19" t="s">
        <v>170</v>
      </c>
      <c r="J321" s="19" t="s">
        <v>171</v>
      </c>
      <c r="K321" s="19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18">
        <v>46231</v>
      </c>
      <c r="C322" s="19">
        <v>30</v>
      </c>
      <c r="D322" s="19">
        <v>28</v>
      </c>
      <c r="E322" s="19">
        <v>2</v>
      </c>
      <c r="F322" s="19">
        <v>3765263</v>
      </c>
      <c r="G322" s="19">
        <v>3303124</v>
      </c>
      <c r="H322" s="19">
        <v>462139</v>
      </c>
      <c r="I322" s="19" t="s">
        <v>172</v>
      </c>
      <c r="J322" s="19" t="s">
        <v>173</v>
      </c>
      <c r="K322" s="19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18">
        <v>46232</v>
      </c>
      <c r="C323" s="19">
        <v>34</v>
      </c>
      <c r="D323" s="19">
        <v>29</v>
      </c>
      <c r="E323" s="19">
        <v>5</v>
      </c>
      <c r="F323" s="19">
        <v>4785585</v>
      </c>
      <c r="G323" s="19">
        <v>4169668</v>
      </c>
      <c r="H323" s="19">
        <v>615917</v>
      </c>
      <c r="I323" s="19" t="s">
        <v>174</v>
      </c>
      <c r="J323" s="19" t="s">
        <v>175</v>
      </c>
      <c r="K323" s="19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18">
        <v>46233</v>
      </c>
      <c r="C324" s="19">
        <v>13</v>
      </c>
      <c r="D324" s="19">
        <v>12</v>
      </c>
      <c r="E324" s="19">
        <v>1</v>
      </c>
      <c r="F324" s="19">
        <v>1356170</v>
      </c>
      <c r="G324" s="19">
        <v>1249710</v>
      </c>
      <c r="H324" s="19">
        <v>106460</v>
      </c>
      <c r="I324" s="19" t="s">
        <v>176</v>
      </c>
      <c r="J324" s="19" t="s">
        <v>177</v>
      </c>
      <c r="K324" s="19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18">
        <v>46234</v>
      </c>
      <c r="C325" s="19">
        <v>9</v>
      </c>
      <c r="D325" s="19">
        <v>7</v>
      </c>
      <c r="E325" s="19">
        <v>2</v>
      </c>
      <c r="F325" s="19">
        <v>1838464</v>
      </c>
      <c r="G325" s="19">
        <v>1282460</v>
      </c>
      <c r="H325" s="19">
        <v>556004</v>
      </c>
      <c r="I325" s="19" t="s">
        <v>178</v>
      </c>
      <c r="J325" s="19" t="s">
        <v>179</v>
      </c>
      <c r="K325" s="19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18">
        <v>46235</v>
      </c>
      <c r="C326" s="19">
        <v>4</v>
      </c>
      <c r="D326" s="19">
        <v>3</v>
      </c>
      <c r="E326" s="19">
        <v>1</v>
      </c>
      <c r="F326" s="19">
        <v>371907</v>
      </c>
      <c r="G326" s="19">
        <v>325267</v>
      </c>
      <c r="H326" s="19">
        <v>46640</v>
      </c>
      <c r="I326" s="19" t="s">
        <v>180</v>
      </c>
      <c r="J326" s="19" t="s">
        <v>181</v>
      </c>
      <c r="K326" s="19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18">
        <v>46236</v>
      </c>
      <c r="C327" s="19">
        <v>0</v>
      </c>
      <c r="D327" s="19">
        <v>0</v>
      </c>
      <c r="E327" s="19">
        <v>0</v>
      </c>
      <c r="F327" s="19">
        <v>0</v>
      </c>
      <c r="G327" s="19">
        <v>0</v>
      </c>
      <c r="H327" s="19">
        <v>0</v>
      </c>
      <c r="I327" s="19" t="s">
        <v>182</v>
      </c>
      <c r="J327" s="19" t="s">
        <v>182</v>
      </c>
      <c r="K327" s="19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18"/>
      <c r="C328" s="19"/>
      <c r="D328" s="19"/>
      <c r="E328" s="19"/>
      <c r="F328" s="19"/>
      <c r="G328" s="19"/>
      <c r="H328" s="19"/>
      <c r="I328" s="19"/>
      <c r="J328" s="19"/>
      <c r="K328" s="19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6" t="s">
        <v>184</v>
      </c>
      <c r="C330" s="26"/>
      <c r="D330" s="26"/>
      <c r="E330" s="26"/>
      <c r="F330" s="26"/>
      <c r="G330" s="26"/>
      <c r="H330" s="26"/>
      <c r="I330" s="26"/>
      <c r="J330" s="26"/>
      <c r="K330" s="26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17" t="s">
        <v>167</v>
      </c>
      <c r="C331" s="17" t="s">
        <v>159</v>
      </c>
      <c r="D331" s="17" t="s">
        <v>146</v>
      </c>
      <c r="E331" s="17" t="s">
        <v>152</v>
      </c>
      <c r="F331" s="17" t="s">
        <v>185</v>
      </c>
      <c r="G331" s="19"/>
      <c r="H331" s="19"/>
      <c r="I331" s="19"/>
      <c r="J331" s="19"/>
      <c r="K331" s="19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18">
        <v>46230</v>
      </c>
      <c r="C332" s="19" t="s">
        <v>186</v>
      </c>
      <c r="D332" s="19">
        <v>0</v>
      </c>
      <c r="E332" s="19">
        <v>0</v>
      </c>
      <c r="F332" s="19" t="s">
        <v>182</v>
      </c>
      <c r="G332" s="19"/>
      <c r="H332" s="19"/>
      <c r="I332" s="19"/>
      <c r="J332" s="19"/>
      <c r="K332" s="19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18">
        <v>46230</v>
      </c>
      <c r="C333" s="19" t="s">
        <v>187</v>
      </c>
      <c r="D333" s="19">
        <v>12</v>
      </c>
      <c r="E333" s="19">
        <v>1829710</v>
      </c>
      <c r="F333" s="19" t="s">
        <v>188</v>
      </c>
      <c r="G333" s="19"/>
      <c r="H333" s="19"/>
      <c r="I333" s="19"/>
      <c r="J333" s="19"/>
      <c r="K333" s="19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18">
        <v>46230</v>
      </c>
      <c r="C334" s="19" t="s">
        <v>165</v>
      </c>
      <c r="D334" s="19">
        <v>12</v>
      </c>
      <c r="E334" s="19">
        <v>441447</v>
      </c>
      <c r="F334" s="19" t="s">
        <v>189</v>
      </c>
      <c r="G334" s="19"/>
      <c r="H334" s="19"/>
      <c r="I334" s="19"/>
      <c r="J334" s="19"/>
      <c r="K334" s="19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18">
        <v>46230</v>
      </c>
      <c r="C335" s="19" t="s">
        <v>190</v>
      </c>
      <c r="D335" s="19">
        <v>8</v>
      </c>
      <c r="E335" s="19">
        <v>524445</v>
      </c>
      <c r="F335" s="19" t="s">
        <v>191</v>
      </c>
      <c r="G335" s="19"/>
      <c r="H335" s="19"/>
      <c r="I335" s="19"/>
      <c r="J335" s="19"/>
      <c r="K335" s="19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18">
        <v>46231</v>
      </c>
      <c r="C336" s="19" t="s">
        <v>186</v>
      </c>
      <c r="D336" s="19">
        <v>0</v>
      </c>
      <c r="E336" s="19">
        <v>0</v>
      </c>
      <c r="F336" s="19" t="s">
        <v>182</v>
      </c>
      <c r="G336" s="19"/>
      <c r="H336" s="19"/>
      <c r="I336" s="19"/>
      <c r="J336" s="19"/>
      <c r="K336" s="19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18">
        <v>46231</v>
      </c>
      <c r="C337" s="19" t="s">
        <v>187</v>
      </c>
      <c r="D337" s="19">
        <v>12</v>
      </c>
      <c r="E337" s="19">
        <v>2374338</v>
      </c>
      <c r="F337" s="19" t="s">
        <v>192</v>
      </c>
      <c r="G337" s="19"/>
      <c r="H337" s="19"/>
      <c r="I337" s="19"/>
      <c r="J337" s="19"/>
      <c r="K337" s="19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18">
        <v>46231</v>
      </c>
      <c r="C338" s="19" t="s">
        <v>165</v>
      </c>
      <c r="D338" s="19">
        <v>12</v>
      </c>
      <c r="E338" s="19">
        <v>744822</v>
      </c>
      <c r="F338" s="19" t="s">
        <v>193</v>
      </c>
      <c r="G338" s="19"/>
      <c r="H338" s="19"/>
      <c r="I338" s="19"/>
      <c r="J338" s="19"/>
      <c r="K338" s="19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18">
        <v>46231</v>
      </c>
      <c r="C339" s="19" t="s">
        <v>190</v>
      </c>
      <c r="D339" s="19">
        <v>6</v>
      </c>
      <c r="E339" s="19">
        <v>646103</v>
      </c>
      <c r="F339" s="19" t="s">
        <v>194</v>
      </c>
      <c r="G339" s="19"/>
      <c r="H339" s="19"/>
      <c r="I339" s="19"/>
      <c r="J339" s="19"/>
      <c r="K339" s="19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18">
        <v>46232</v>
      </c>
      <c r="C340" s="19" t="s">
        <v>186</v>
      </c>
      <c r="D340" s="19">
        <v>0</v>
      </c>
      <c r="E340" s="19">
        <v>0</v>
      </c>
      <c r="F340" s="19" t="s">
        <v>182</v>
      </c>
      <c r="G340" s="19"/>
      <c r="H340" s="19"/>
      <c r="I340" s="19"/>
      <c r="J340" s="19"/>
      <c r="K340" s="19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18">
        <v>46232</v>
      </c>
      <c r="C341" s="19" t="s">
        <v>187</v>
      </c>
      <c r="D341" s="19">
        <v>13</v>
      </c>
      <c r="E341" s="19">
        <v>3417644</v>
      </c>
      <c r="F341" s="19" t="s">
        <v>195</v>
      </c>
      <c r="G341" s="19"/>
      <c r="H341" s="19"/>
      <c r="I341" s="19"/>
      <c r="J341" s="19"/>
      <c r="K341" s="19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18">
        <v>46232</v>
      </c>
      <c r="C342" s="19" t="s">
        <v>165</v>
      </c>
      <c r="D342" s="19">
        <v>9</v>
      </c>
      <c r="E342" s="19">
        <v>351664</v>
      </c>
      <c r="F342" s="19" t="s">
        <v>196</v>
      </c>
      <c r="G342" s="19"/>
      <c r="H342" s="19"/>
      <c r="I342" s="19"/>
      <c r="J342" s="19"/>
      <c r="K342" s="19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18">
        <v>46232</v>
      </c>
      <c r="C343" s="19" t="s">
        <v>190</v>
      </c>
      <c r="D343" s="19">
        <v>12</v>
      </c>
      <c r="E343" s="19">
        <v>1016277</v>
      </c>
      <c r="F343" s="19" t="s">
        <v>197</v>
      </c>
      <c r="G343" s="19"/>
      <c r="H343" s="19"/>
      <c r="I343" s="19"/>
      <c r="J343" s="19"/>
      <c r="K343" s="19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18">
        <v>46233</v>
      </c>
      <c r="C344" s="19" t="s">
        <v>186</v>
      </c>
      <c r="D344" s="19">
        <v>0</v>
      </c>
      <c r="E344" s="19">
        <v>0</v>
      </c>
      <c r="F344" s="19" t="s">
        <v>182</v>
      </c>
      <c r="G344" s="19"/>
      <c r="H344" s="19"/>
      <c r="I344" s="19"/>
      <c r="J344" s="19"/>
      <c r="K344" s="19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18">
        <v>46233</v>
      </c>
      <c r="C345" s="19" t="s">
        <v>187</v>
      </c>
      <c r="D345" s="19">
        <v>4</v>
      </c>
      <c r="E345" s="19">
        <v>711558</v>
      </c>
      <c r="F345" s="19" t="s">
        <v>198</v>
      </c>
      <c r="G345" s="19"/>
      <c r="H345" s="19"/>
      <c r="I345" s="19"/>
      <c r="J345" s="19"/>
      <c r="K345" s="19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18">
        <v>46233</v>
      </c>
      <c r="C346" s="19" t="s">
        <v>165</v>
      </c>
      <c r="D346" s="19">
        <v>6</v>
      </c>
      <c r="E346" s="19">
        <v>362612</v>
      </c>
      <c r="F346" s="19" t="s">
        <v>199</v>
      </c>
      <c r="G346" s="19"/>
      <c r="H346" s="19"/>
      <c r="I346" s="19"/>
      <c r="J346" s="19"/>
      <c r="K346" s="19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18">
        <v>46233</v>
      </c>
      <c r="C347" s="19" t="s">
        <v>190</v>
      </c>
      <c r="D347" s="19">
        <v>3</v>
      </c>
      <c r="E347" s="19">
        <v>282000</v>
      </c>
      <c r="F347" s="19" t="s">
        <v>200</v>
      </c>
      <c r="G347" s="19"/>
      <c r="H347" s="19"/>
      <c r="I347" s="19"/>
      <c r="J347" s="19"/>
      <c r="K347" s="19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18">
        <v>46234</v>
      </c>
      <c r="C348" s="19" t="s">
        <v>186</v>
      </c>
      <c r="D348" s="19">
        <v>0</v>
      </c>
      <c r="E348" s="19">
        <v>0</v>
      </c>
      <c r="F348" s="19" t="s">
        <v>182</v>
      </c>
      <c r="G348" s="19"/>
      <c r="H348" s="19"/>
      <c r="I348" s="19"/>
      <c r="J348" s="19"/>
      <c r="K348" s="19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18">
        <v>46234</v>
      </c>
      <c r="C349" s="19" t="s">
        <v>187</v>
      </c>
      <c r="D349" s="19">
        <v>3</v>
      </c>
      <c r="E349" s="19">
        <v>959318</v>
      </c>
      <c r="F349" s="19" t="s">
        <v>201</v>
      </c>
      <c r="G349" s="19"/>
      <c r="H349" s="19"/>
      <c r="I349" s="19"/>
      <c r="J349" s="19"/>
      <c r="K349" s="19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18">
        <v>46234</v>
      </c>
      <c r="C350" s="19" t="s">
        <v>165</v>
      </c>
      <c r="D350" s="19">
        <v>4</v>
      </c>
      <c r="E350" s="19">
        <v>413886</v>
      </c>
      <c r="F350" s="19" t="s">
        <v>202</v>
      </c>
      <c r="G350" s="19"/>
      <c r="H350" s="19"/>
      <c r="I350" s="19"/>
      <c r="J350" s="19"/>
      <c r="K350" s="19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18">
        <v>46234</v>
      </c>
      <c r="C351" s="19" t="s">
        <v>190</v>
      </c>
      <c r="D351" s="19">
        <v>2</v>
      </c>
      <c r="E351" s="19">
        <v>465260</v>
      </c>
      <c r="F351" s="19" t="s">
        <v>203</v>
      </c>
      <c r="G351" s="19"/>
      <c r="H351" s="19"/>
      <c r="I351" s="19"/>
      <c r="J351" s="19"/>
      <c r="K351" s="19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18">
        <v>46235</v>
      </c>
      <c r="C352" s="19" t="s">
        <v>186</v>
      </c>
      <c r="D352" s="19">
        <v>0</v>
      </c>
      <c r="E352" s="19">
        <v>0</v>
      </c>
      <c r="F352" s="19" t="s">
        <v>182</v>
      </c>
      <c r="G352" s="19"/>
      <c r="H352" s="19"/>
      <c r="I352" s="19"/>
      <c r="J352" s="19"/>
      <c r="K352" s="19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18">
        <v>46235</v>
      </c>
      <c r="C353" s="19" t="s">
        <v>187</v>
      </c>
      <c r="D353" s="19">
        <v>1</v>
      </c>
      <c r="E353" s="19">
        <v>153917</v>
      </c>
      <c r="F353" s="19" t="s">
        <v>204</v>
      </c>
      <c r="G353" s="19"/>
      <c r="H353" s="19"/>
      <c r="I353" s="19"/>
      <c r="J353" s="19"/>
      <c r="K353" s="19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18">
        <v>46235</v>
      </c>
      <c r="C354" s="19" t="s">
        <v>165</v>
      </c>
      <c r="D354" s="19">
        <v>2</v>
      </c>
      <c r="E354" s="19">
        <v>126550</v>
      </c>
      <c r="F354" s="19" t="s">
        <v>205</v>
      </c>
      <c r="G354" s="19"/>
      <c r="H354" s="19"/>
      <c r="I354" s="19"/>
      <c r="J354" s="19"/>
      <c r="K354" s="19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18">
        <v>46235</v>
      </c>
      <c r="C355" s="19" t="s">
        <v>190</v>
      </c>
      <c r="D355" s="19">
        <v>1</v>
      </c>
      <c r="E355" s="19">
        <v>91440</v>
      </c>
      <c r="F355" s="19" t="s">
        <v>206</v>
      </c>
      <c r="G355" s="19"/>
      <c r="H355" s="19"/>
      <c r="I355" s="19"/>
      <c r="J355" s="19"/>
      <c r="K355" s="19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18">
        <v>46236</v>
      </c>
      <c r="C356" s="19" t="s">
        <v>186</v>
      </c>
      <c r="D356" s="19">
        <v>0</v>
      </c>
      <c r="E356" s="19">
        <v>0</v>
      </c>
      <c r="F356" s="19" t="s">
        <v>182</v>
      </c>
      <c r="G356" s="19"/>
      <c r="H356" s="19"/>
      <c r="I356" s="19"/>
      <c r="J356" s="19"/>
      <c r="K356" s="19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18">
        <v>46236</v>
      </c>
      <c r="C357" s="19" t="s">
        <v>187</v>
      </c>
      <c r="D357" s="19">
        <v>0</v>
      </c>
      <c r="E357" s="19">
        <v>0</v>
      </c>
      <c r="F357" s="19" t="s">
        <v>182</v>
      </c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18">
        <v>46236</v>
      </c>
      <c r="C358" s="19" t="s">
        <v>165</v>
      </c>
      <c r="D358" s="19">
        <v>0</v>
      </c>
      <c r="E358" s="19">
        <v>0</v>
      </c>
      <c r="F358" s="19" t="s">
        <v>182</v>
      </c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18">
        <v>46236</v>
      </c>
      <c r="C359" s="19" t="s">
        <v>190</v>
      </c>
      <c r="D359" s="19">
        <v>0</v>
      </c>
      <c r="E359" s="19">
        <v>0</v>
      </c>
      <c r="F359" s="19" t="s">
        <v>182</v>
      </c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</sheetData>
  <mergeCells count="17">
    <mergeCell ref="B318:K318"/>
    <mergeCell ref="B330:K330"/>
    <mergeCell ref="A1:G1"/>
    <mergeCell ref="A2:F2"/>
    <mergeCell ref="A5:C5"/>
    <mergeCell ref="A25:C25"/>
    <mergeCell ref="A29:C29"/>
    <mergeCell ref="A30:C30"/>
    <mergeCell ref="A74:C74"/>
    <mergeCell ref="B264:K264"/>
    <mergeCell ref="B274:F274"/>
    <mergeCell ref="B287:K287"/>
    <mergeCell ref="B256:G256"/>
    <mergeCell ref="A83:C83"/>
    <mergeCell ref="A97:C97"/>
    <mergeCell ref="A106:G106"/>
    <mergeCell ref="A129:G12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34" customWidth="1"/>
    <col min="2" max="2" width="109.83203125" customWidth="1"/>
  </cols>
  <sheetData>
    <row r="1" spans="1:26" ht="16.5" customHeight="1" x14ac:dyDescent="0.1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15">
      <c r="A2" s="1" t="s">
        <v>3</v>
      </c>
      <c r="B2" s="1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" x14ac:dyDescent="0.15">
      <c r="A3" s="1" t="s">
        <v>5</v>
      </c>
      <c r="B3" s="1" t="s">
        <v>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1" t="s">
        <v>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15">
      <c r="A5" s="1"/>
      <c r="B5" s="1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1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15">
      <c r="A9" s="1" t="s">
        <v>15</v>
      </c>
      <c r="B9" s="1" t="s">
        <v>16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 t="s">
        <v>17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 t="s">
        <v>19</v>
      </c>
      <c r="B11" s="1" t="s">
        <v>20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 t="s">
        <v>24</v>
      </c>
      <c r="B12" s="1" t="s">
        <v>25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" x14ac:dyDescent="0.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" x14ac:dyDescent="0.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Customer journey</vt:lpstr>
      <vt:lpstr>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Hoang Anh</cp:lastModifiedBy>
  <dcterms:modified xsi:type="dcterms:W3CDTF">2026-08-26T05:21:05Z</dcterms:modified>
</cp:coreProperties>
</file>